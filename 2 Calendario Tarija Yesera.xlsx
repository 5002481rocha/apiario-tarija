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Rocha AAP\"/>
    </mc:Choice>
  </mc:AlternateContent>
  <xr:revisionPtr revIDLastSave="0" documentId="13_ncr:1_{338F957B-6B58-43E3-B642-BECDDB4D83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5" i="2" l="1"/>
  <c r="F38" i="2" l="1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E38" i="2"/>
</calcChain>
</file>

<file path=xl/sharedStrings.xml><?xml version="1.0" encoding="utf-8"?>
<sst xmlns="http://schemas.openxmlformats.org/spreadsheetml/2006/main" count="184" uniqueCount="134">
  <si>
    <r>
      <rPr>
        <b/>
        <vertAlign val="subscript"/>
        <sz val="10"/>
        <rFont val="Times New Roman"/>
        <family val="1"/>
      </rPr>
      <t>N</t>
    </r>
    <r>
      <rPr>
        <b/>
        <sz val="6.5"/>
        <rFont val="Times New Roman"/>
        <family val="1"/>
      </rPr>
      <t>o</t>
    </r>
  </si>
  <si>
    <t>ACTIVIDADES</t>
  </si>
  <si>
    <t>CALCULO DIAS SEGÚN LA INF DE CURVA FLORAL Y BIOLOGIA DE LA ABEJA, BIOLOGIA DE LA COLMENA</t>
  </si>
  <si>
    <t>DIAS PARA CONTAR CON POBLACIONES DE PECOREO</t>
  </si>
  <si>
    <t xml:space="preserve">DIAS PARA QUE LA REINA EMPIECE A PONER HUEVOS </t>
  </si>
  <si>
    <t>DIAS EN NACER LAS ABEJAS</t>
  </si>
  <si>
    <t>DIAS PARA QUE UNA ABEJA SEA PECOREADORA</t>
  </si>
  <si>
    <t xml:space="preserve">  DIAS PARA QUE SE PRODUZCAN PECOREADORAS</t>
  </si>
  <si>
    <t>LINEA DE MANTENIMIENTO DE LA COLONIA</t>
  </si>
  <si>
    <t>20 DIAS ANTES DE LOS PICOS MAS BAJOS DE FLUJO</t>
  </si>
  <si>
    <t>SANIDAD  EN LO MOMENTOS DE MENOR POBLACION</t>
  </si>
  <si>
    <t>CONTROL DE ENJAMBRAZON CUANDO LOS FLUJOS ESTAN ACERCANDOSE A LO MAS ALTO</t>
  </si>
  <si>
    <t>PREPARACION A INVERNADA ANTES DE INGRESAR AL INVIERNO</t>
  </si>
  <si>
    <t>ALIMENTACION DE INSENTIVO 40 U 80 DIAS ANTES DE LA FLORADA DE APROVECHAMIENTO</t>
  </si>
  <si>
    <t>REDUCIR ESPACIO OBSERVANDO LAS POBLACIONES Y SU REDUCCION</t>
  </si>
  <si>
    <t>INCREMENTAR CERA ANTE EN CRECIMIENTO DE POBLACIONES</t>
  </si>
  <si>
    <t>Mantenimiento del exterior de la colmena, reparando roturas que permitan la entrada de agua o aire frio al interior.</t>
  </si>
  <si>
    <t>Mantenimiento y renovación de material del colmenar en taller: preparación de cuadros, fundido de cera, pintado y reparación de cuerpos y alzas, etc.</t>
  </si>
  <si>
    <t>Limpieza y desinfección de cuadros.</t>
  </si>
  <si>
    <t>Principios de invierno: Alimentación artificial de mantenimiento.</t>
  </si>
  <si>
    <t>Mediados de invierno: Alimentación de estimulación (1 mes antes de la floración 40 dias o 80 dias).</t>
  </si>
  <si>
    <t>Finales de invierno: vigilancia del vigor de la colonia , limpieza del fondo de la colmena, inspección sanitaria.</t>
  </si>
  <si>
    <t>Revisión de colmenas (es fácil encontrarnos con alguna colmena zanganera en está época).</t>
  </si>
  <si>
    <t>Trasvase de colonias.</t>
  </si>
  <si>
    <t>Renovación de cera.</t>
  </si>
  <si>
    <t>Reestructuración del nido de cria ESPACIO .</t>
  </si>
  <si>
    <t>Vigilancia de las reservas de polen y miel (sobretodo si las lluvias no permiten el pecoreo).</t>
  </si>
  <si>
    <t>Posible tratamiento de enfermedades de la cria (loques) producción de reinas y jalea real.</t>
  </si>
  <si>
    <t>Aumento de la apertura de la piquera</t>
  </si>
  <si>
    <t>Revisión de núcleos.</t>
  </si>
  <si>
    <t>Colocación de alzas y trampa cazapolen (si queremos recolectar).</t>
  </si>
  <si>
    <t>Control de la maleza alrededor de las colmenas.</t>
  </si>
  <si>
    <t>Equilibrio biologico de colonias.</t>
  </si>
  <si>
    <t>En zonas calidas proteger de insolacion</t>
  </si>
  <si>
    <t>Control del estado sanitario.</t>
  </si>
  <si>
    <t>Control de la vegetación seca alrededor del apiario.</t>
  </si>
  <si>
    <t>Apertura total de la piquera y del fondo, si es posible.</t>
  </si>
  <si>
    <t>Alimentación artificial en caso de sequía.</t>
  </si>
  <si>
    <t xml:space="preserve">Tratamientos sanitarios: </t>
  </si>
  <si>
    <t>Producción de propóleos.</t>
  </si>
  <si>
    <t>Renovación de reinas.</t>
  </si>
  <si>
    <t>Equilibrado de colmenas, fusión de cara a facilitar la invernada.</t>
  </si>
  <si>
    <t>Preparación de la colmena para la invernada.</t>
  </si>
  <si>
    <t>Vigilancia de los bebederos, que haya en las cercanías agua fresca y limpia para las abejas.</t>
  </si>
  <si>
    <t>POSIBLES ACTIVIDADES</t>
  </si>
  <si>
    <t>CRITERIOS DE TEMPORALIDAD</t>
  </si>
  <si>
    <t>Nombre cientifico</t>
  </si>
  <si>
    <t>Nombre comun</t>
  </si>
  <si>
    <t>Obs.  N.   Po.   Pr.</t>
  </si>
  <si>
    <t>Molle</t>
  </si>
  <si>
    <t>Churqui negro</t>
  </si>
  <si>
    <t>Tusca</t>
  </si>
  <si>
    <t>Confiturilla</t>
  </si>
  <si>
    <t>Algarrobo</t>
  </si>
  <si>
    <t>Penca</t>
  </si>
  <si>
    <t>Duraznero</t>
  </si>
  <si>
    <t>Manzano</t>
  </si>
  <si>
    <t>Eucalipto</t>
  </si>
  <si>
    <t>Aloysia gratissima</t>
  </si>
  <si>
    <t xml:space="preserve">Lantana velutina </t>
  </si>
  <si>
    <t>Schinus airea</t>
  </si>
  <si>
    <t xml:space="preserve">Netulma (Prosopis) alba </t>
  </si>
  <si>
    <t xml:space="preserve">Vachellia aroma </t>
  </si>
  <si>
    <t xml:space="preserve">Strombocarpa ferox </t>
  </si>
  <si>
    <t>Eucalyptus globulus</t>
  </si>
  <si>
    <t xml:space="preserve">Prunus pérsica </t>
  </si>
  <si>
    <t>Apuntia sulphurea</t>
  </si>
  <si>
    <t>Arbusto</t>
  </si>
  <si>
    <t>Arbol</t>
  </si>
  <si>
    <t>Cactus</t>
  </si>
  <si>
    <t>Nabo silvestre</t>
  </si>
  <si>
    <t>Brassica rapa L.</t>
  </si>
  <si>
    <t>Chañar</t>
  </si>
  <si>
    <t>Geoffroea decorticans</t>
  </si>
  <si>
    <t>Maiz</t>
  </si>
  <si>
    <t>Arveja</t>
  </si>
  <si>
    <t>Alfalfa</t>
  </si>
  <si>
    <t>Papa</t>
  </si>
  <si>
    <t>Medicago sativa</t>
  </si>
  <si>
    <t>Zea mays</t>
  </si>
  <si>
    <t>Baccharis juncea</t>
  </si>
  <si>
    <t>Pisum sativum</t>
  </si>
  <si>
    <t>Solanum tuberosum</t>
  </si>
  <si>
    <t xml:space="preserve">Malus domestica </t>
  </si>
  <si>
    <t>Po</t>
  </si>
  <si>
    <t>N</t>
  </si>
  <si>
    <t>Uva</t>
  </si>
  <si>
    <t>Vitis vinifera</t>
  </si>
  <si>
    <t>Tipo floral: arborea, arbustiva, herbacea.</t>
  </si>
  <si>
    <t>Herbacea</t>
  </si>
  <si>
    <t>Huevito de gallo</t>
  </si>
  <si>
    <t>Salpichroa originifolia</t>
  </si>
  <si>
    <t>Mikanea cordifolia</t>
  </si>
  <si>
    <t>Mocomoco</t>
  </si>
  <si>
    <t>Cebololla de monte</t>
  </si>
  <si>
    <t>Saitilla</t>
  </si>
  <si>
    <t>Bidens pilosa</t>
  </si>
  <si>
    <t>Muilla maritima</t>
  </si>
  <si>
    <t>Suncho criollo</t>
  </si>
  <si>
    <t xml:space="preserve">01-La organización de un calendario floral, ayuda al apicultor a preparar su programa de anual trabajo.
02-Registre solo las plantas importantes y predominantes que son visitas por las abejas y dentro del radio de acción de vuelo de las abejas del apiario (mellifera 3.500 Mts.)
03-Anote  el  período  floral  de  la  planta  con  una  X  y  complete  en  tres  segmentos  de  cada  10  días.  O  anote  un  valor  de  1  a  10  por  su  importancia  y  en  la  columna  de observaciones anotar M-Po-Pro por su aptitud para la producción Melífera Polinifera o Propolifera
</t>
  </si>
  <si>
    <t>Vara dulce o quisma</t>
  </si>
  <si>
    <t>N, Po</t>
  </si>
  <si>
    <t>N, Pr</t>
  </si>
  <si>
    <t>Pasto cubano</t>
  </si>
  <si>
    <t xml:space="preserve">Tithonia tubaeformis </t>
  </si>
  <si>
    <t>Guaco enredadera</t>
  </si>
  <si>
    <t>Saurauia scabrida</t>
  </si>
  <si>
    <t>Pino</t>
  </si>
  <si>
    <t>Po, Pr</t>
  </si>
  <si>
    <t>Pinus radiata</t>
  </si>
  <si>
    <t>Thola</t>
  </si>
  <si>
    <t>Baccharis tola</t>
  </si>
  <si>
    <t>N, Po, Pr</t>
  </si>
  <si>
    <t>CALENDÁRIO PARA REGISTRO DE FLORACIONES
MUNICIPIO: TARIJA
                             LOCALIDAD:    YESERA                             COMUNIDAD:   YESERA SUD                                        AÑO:                                 </t>
  </si>
  <si>
    <t>Churqui</t>
  </si>
  <si>
    <t xml:space="preserve">Vachellia caven </t>
  </si>
  <si>
    <t>Liga liga</t>
  </si>
  <si>
    <t>Ligaria cuneifolia</t>
  </si>
  <si>
    <t>Sauce</t>
  </si>
  <si>
    <t>S. Babylonica</t>
  </si>
  <si>
    <t>Guinda</t>
  </si>
  <si>
    <t>Prunus cerasus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</si>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</sst>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sz val="7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vertAlign val="subscript"/>
      <sz val="10"/>
      <name val="Times New Roman"/>
      <family val="1"/>
    </font>
    <font>
      <b/>
      <sz val="6.5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B050"/>
      <name val="Calibri"/>
      <family val="2"/>
      <scheme val="minor"/>
    </font>
    <font>
      <b/>
      <sz val="16"/>
      <color rgb="FF000000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6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5F5F5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F5F5F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5F5F5F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 applyFill="1" applyBorder="1" applyAlignment="1">
      <alignment horizontal="left" vertical="top"/>
    </xf>
    <xf numFmtId="1" fontId="1" fillId="0" borderId="3" xfId="0" applyNumberFormat="1" applyFont="1" applyFill="1" applyBorder="1" applyAlignment="1">
      <alignment horizontal="left" vertical="top" shrinkToFit="1"/>
    </xf>
    <xf numFmtId="0" fontId="0" fillId="0" borderId="4" xfId="0" applyFill="1" applyBorder="1" applyAlignment="1">
      <alignment horizontal="left" wrapText="1"/>
    </xf>
    <xf numFmtId="1" fontId="2" fillId="0" borderId="5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wrapText="1"/>
    </xf>
    <xf numFmtId="0" fontId="5" fillId="0" borderId="11" xfId="0" applyFont="1" applyFill="1" applyBorder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/>
    <xf numFmtId="0" fontId="12" fillId="0" borderId="0" xfId="0" applyFont="1" applyFill="1" applyBorder="1" applyAlignment="1">
      <alignment horizontal="left" vertical="top"/>
    </xf>
    <xf numFmtId="0" fontId="7" fillId="0" borderId="3" xfId="0" applyFont="1" applyFill="1" applyBorder="1" applyAlignment="1">
      <alignment horizontal="left" wrapText="1"/>
    </xf>
    <xf numFmtId="1" fontId="7" fillId="0" borderId="3" xfId="0" applyNumberFormat="1" applyFont="1" applyFill="1" applyBorder="1" applyAlignment="1">
      <alignment horizontal="left" vertical="top" shrinkToFit="1"/>
    </xf>
    <xf numFmtId="0" fontId="0" fillId="2" borderId="3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7" fillId="0" borderId="4" xfId="0" applyFont="1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7" fillId="5" borderId="3" xfId="0" applyFont="1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7" borderId="3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9" borderId="3" xfId="0" applyFill="1" applyBorder="1" applyAlignment="1">
      <alignment horizontal="left" wrapText="1"/>
    </xf>
    <xf numFmtId="0" fontId="14" fillId="0" borderId="3" xfId="0" applyFont="1" applyFill="1" applyBorder="1" applyAlignment="1">
      <alignment horizontal="left" vertical="top"/>
    </xf>
    <xf numFmtId="0" fontId="0" fillId="10" borderId="3" xfId="0" applyFill="1" applyBorder="1" applyAlignment="1">
      <alignment horizontal="left" wrapText="1"/>
    </xf>
    <xf numFmtId="1" fontId="7" fillId="0" borderId="3" xfId="0" applyNumberFormat="1" applyFont="1" applyBorder="1" applyAlignment="1">
      <alignment horizontal="left" vertical="top" shrinkToFit="1"/>
    </xf>
    <xf numFmtId="0" fontId="0" fillId="11" borderId="3" xfId="0" applyFill="1" applyBorder="1" applyAlignment="1">
      <alignment horizontal="left" wrapText="1"/>
    </xf>
    <xf numFmtId="0" fontId="0" fillId="12" borderId="3" xfId="0" applyFill="1" applyBorder="1" applyAlignment="1">
      <alignment horizontal="left" wrapText="1"/>
    </xf>
    <xf numFmtId="0" fontId="0" fillId="13" borderId="3" xfId="0" applyFill="1" applyBorder="1" applyAlignment="1">
      <alignment horizontal="left" wrapText="1"/>
    </xf>
    <xf numFmtId="0" fontId="0" fillId="14" borderId="3" xfId="0" applyFill="1" applyBorder="1" applyAlignment="1">
      <alignment horizontal="left" wrapText="1"/>
    </xf>
    <xf numFmtId="0" fontId="11" fillId="0" borderId="0" xfId="0" applyFont="1" applyFill="1"/>
    <xf numFmtId="0" fontId="0" fillId="15" borderId="3" xfId="0" applyFill="1" applyBorder="1" applyAlignment="1">
      <alignment horizontal="left" wrapText="1"/>
    </xf>
    <xf numFmtId="0" fontId="0" fillId="16" borderId="3" xfId="0" applyFill="1" applyBorder="1" applyAlignment="1">
      <alignment horizontal="left" wrapText="1"/>
    </xf>
    <xf numFmtId="0" fontId="7" fillId="0" borderId="3" xfId="0" applyFont="1" applyFill="1" applyBorder="1" applyAlignment="1">
      <alignment horizontal="left" vertical="top"/>
    </xf>
    <xf numFmtId="0" fontId="0" fillId="17" borderId="3" xfId="0" applyFill="1" applyBorder="1" applyAlignment="1">
      <alignment horizontal="left" wrapText="1"/>
    </xf>
    <xf numFmtId="0" fontId="0" fillId="18" borderId="3" xfId="0" applyFill="1" applyBorder="1" applyAlignment="1">
      <alignment horizontal="left" wrapText="1"/>
    </xf>
    <xf numFmtId="0" fontId="7" fillId="0" borderId="3" xfId="0" applyFont="1" applyFill="1" applyBorder="1" applyAlignment="1">
      <alignment vertical="top"/>
    </xf>
    <xf numFmtId="0" fontId="0" fillId="0" borderId="3" xfId="0" applyFill="1" applyBorder="1"/>
    <xf numFmtId="0" fontId="0" fillId="0" borderId="3" xfId="0" applyBorder="1"/>
    <xf numFmtId="0" fontId="7" fillId="0" borderId="3" xfId="0" applyFont="1" applyBorder="1"/>
    <xf numFmtId="1" fontId="7" fillId="0" borderId="3" xfId="0" applyNumberFormat="1" applyFont="1" applyFill="1" applyBorder="1" applyAlignment="1">
      <alignment vertical="top" shrinkToFit="1"/>
    </xf>
    <xf numFmtId="0" fontId="14" fillId="0" borderId="3" xfId="0" applyFont="1" applyFill="1" applyBorder="1" applyAlignment="1">
      <alignment vertical="top"/>
    </xf>
    <xf numFmtId="0" fontId="7" fillId="0" borderId="3" xfId="0" applyFont="1" applyBorder="1" applyAlignment="1">
      <alignment horizontal="left" vertical="top"/>
    </xf>
    <xf numFmtId="0" fontId="15" fillId="0" borderId="3" xfId="0" applyFont="1" applyFill="1" applyBorder="1" applyAlignment="1">
      <alignment horizontal="left" vertical="top"/>
    </xf>
    <xf numFmtId="1" fontId="7" fillId="0" borderId="16" xfId="0" applyNumberFormat="1" applyFont="1" applyFill="1" applyBorder="1" applyAlignment="1">
      <alignment horizontal="left" vertical="top" shrinkToFit="1"/>
    </xf>
    <xf numFmtId="0" fontId="7" fillId="0" borderId="16" xfId="0" applyFont="1" applyFill="1" applyBorder="1" applyAlignment="1">
      <alignment horizontal="left" wrapText="1"/>
    </xf>
    <xf numFmtId="0" fontId="0" fillId="0" borderId="16" xfId="0" applyFill="1" applyBorder="1" applyAlignment="1">
      <alignment horizontal="left" vertical="top"/>
    </xf>
    <xf numFmtId="0" fontId="0" fillId="19" borderId="3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top"/>
    </xf>
    <xf numFmtId="0" fontId="0" fillId="0" borderId="16" xfId="0" applyFill="1" applyBorder="1" applyAlignment="1">
      <alignment horizontal="left" wrapText="1"/>
    </xf>
    <xf numFmtId="0" fontId="0" fillId="15" borderId="16" xfId="0" applyFill="1" applyBorder="1" applyAlignment="1">
      <alignment horizontal="left" wrapText="1"/>
    </xf>
    <xf numFmtId="0" fontId="7" fillId="0" borderId="12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13" fillId="0" borderId="7" xfId="0" applyFont="1" applyFill="1" applyBorder="1" applyAlignment="1">
      <alignment horizontal="left" vertical="top" wrapText="1" indent="1"/>
    </xf>
    <xf numFmtId="0" fontId="13" fillId="0" borderId="2" xfId="0" applyFont="1" applyFill="1" applyBorder="1" applyAlignment="1">
      <alignment horizontal="left" vertical="top" wrapText="1" indent="1"/>
    </xf>
    <xf numFmtId="0" fontId="7" fillId="0" borderId="15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16" fillId="0" borderId="8" xfId="0" applyFont="1" applyFill="1" applyBorder="1" applyAlignment="1">
      <alignment horizontal="left" vertical="top" wrapText="1" indent="1"/>
    </xf>
    <xf numFmtId="0" fontId="16" fillId="0" borderId="9" xfId="0" applyFont="1" applyFill="1" applyBorder="1" applyAlignment="1">
      <alignment horizontal="left" vertical="top" wrapText="1" indent="1"/>
    </xf>
    <xf numFmtId="0" fontId="16" fillId="0" borderId="10" xfId="0" applyFont="1" applyFill="1" applyBorder="1" applyAlignment="1">
      <alignment horizontal="left" vertical="top" wrapText="1" inden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4" fillId="0" borderId="7" xfId="0" applyFont="1" applyFill="1" applyBorder="1" applyAlignment="1">
      <alignment horizontal="center" vertical="top" wrapText="1"/>
    </xf>
    <xf numFmtId="0" fontId="14" fillId="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 FLORAL</a:t>
            </a:r>
          </a:p>
        </c:rich>
      </c:tx>
      <c:layout>
        <c:manualLayout>
          <c:xMode val="edge"/>
          <c:yMode val="edge"/>
          <c:x val="0.385961690201228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5.8928258967629044E-2"/>
          <c:y val="0.19486111111111112"/>
          <c:w val="0.896627296587926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2'!$E$38:$AN$38</c:f>
              <c:numCache>
                <c:formatCode>General</c:formatCode>
                <c:ptCount val="36"/>
                <c:pt idx="0">
                  <c:v>4</c:v>
                </c:pt>
                <c:pt idx="1">
                  <c:v>9</c:v>
                </c:pt>
                <c:pt idx="2">
                  <c:v>21</c:v>
                </c:pt>
                <c:pt idx="3">
                  <c:v>29</c:v>
                </c:pt>
                <c:pt idx="4">
                  <c:v>32</c:v>
                </c:pt>
                <c:pt idx="5">
                  <c:v>44</c:v>
                </c:pt>
                <c:pt idx="6">
                  <c:v>42</c:v>
                </c:pt>
                <c:pt idx="7">
                  <c:v>40</c:v>
                </c:pt>
                <c:pt idx="8">
                  <c:v>24</c:v>
                </c:pt>
                <c:pt idx="9">
                  <c:v>21</c:v>
                </c:pt>
                <c:pt idx="10">
                  <c:v>17</c:v>
                </c:pt>
                <c:pt idx="11">
                  <c:v>9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14</c:v>
                </c:pt>
                <c:pt idx="23">
                  <c:v>16</c:v>
                </c:pt>
                <c:pt idx="24">
                  <c:v>28</c:v>
                </c:pt>
                <c:pt idx="25">
                  <c:v>30</c:v>
                </c:pt>
                <c:pt idx="26">
                  <c:v>35</c:v>
                </c:pt>
                <c:pt idx="27">
                  <c:v>40</c:v>
                </c:pt>
                <c:pt idx="28">
                  <c:v>41</c:v>
                </c:pt>
                <c:pt idx="29">
                  <c:v>52</c:v>
                </c:pt>
                <c:pt idx="30">
                  <c:v>49</c:v>
                </c:pt>
                <c:pt idx="31">
                  <c:v>38</c:v>
                </c:pt>
                <c:pt idx="32">
                  <c:v>23</c:v>
                </c:pt>
                <c:pt idx="33">
                  <c:v>21</c:v>
                </c:pt>
                <c:pt idx="34">
                  <c:v>14</c:v>
                </c:pt>
                <c:pt idx="3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A-48BF-8947-1B3831C52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340240"/>
        <c:axId val="346339456"/>
      </c:barChart>
      <c:catAx>
        <c:axId val="34634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39456"/>
        <c:crosses val="autoZero"/>
        <c:auto val="1"/>
        <c:lblAlgn val="ctr"/>
        <c:lblOffset val="100"/>
        <c:noMultiLvlLbl val="0"/>
      </c:catAx>
      <c:valAx>
        <c:axId val="346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138429</xdr:colOff>
      <xdr:row>4</xdr:row>
      <xdr:rowOff>120586</xdr:rowOff>
    </xdr:from>
    <xdr:ext cx="4064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0640" cy="7620"/>
        </a:xfrm>
        <a:custGeom>
          <a:avLst/>
          <a:gdLst/>
          <a:ahLst/>
          <a:cxnLst/>
          <a:rect l="0" t="0" r="0" b="0"/>
          <a:pathLst>
            <a:path w="40640" h="7620">
              <a:moveTo>
                <a:pt x="40640" y="0"/>
              </a:moveTo>
              <a:lnTo>
                <a:pt x="0" y="0"/>
              </a:lnTo>
              <a:lnTo>
                <a:pt x="0" y="7620"/>
              </a:lnTo>
              <a:lnTo>
                <a:pt x="40640" y="7620"/>
              </a:lnTo>
              <a:lnTo>
                <a:pt x="4064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>
    <xdr:from>
      <xdr:col>3</xdr:col>
      <xdr:colOff>581026</xdr:colOff>
      <xdr:row>39</xdr:row>
      <xdr:rowOff>4762</xdr:rowOff>
    </xdr:from>
    <xdr:to>
      <xdr:col>40</xdr:col>
      <xdr:colOff>333375</xdr:colOff>
      <xdr:row>55</xdr:row>
      <xdr:rowOff>157162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371475</xdr:colOff>
      <xdr:row>50</xdr:row>
      <xdr:rowOff>9525</xdr:rowOff>
    </xdr:from>
    <xdr:to>
      <xdr:col>40</xdr:col>
      <xdr:colOff>704850</xdr:colOff>
      <xdr:row>50</xdr:row>
      <xdr:rowOff>19050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2419350" y="10325100"/>
          <a:ext cx="7877175" cy="952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588479</xdr:colOff>
      <xdr:row>42</xdr:row>
      <xdr:rowOff>0</xdr:rowOff>
    </xdr:from>
    <xdr:to>
      <xdr:col>2</xdr:col>
      <xdr:colOff>217760</xdr:colOff>
      <xdr:row>45</xdr:row>
      <xdr:rowOff>89918</xdr:rowOff>
    </xdr:to>
    <xdr:sp macro="" textlink="">
      <xdr:nvSpPr>
        <xdr:cNvPr id="5" name="Flecha abaj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07554" y="9020175"/>
          <a:ext cx="410331" cy="575693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592207</xdr:colOff>
      <xdr:row>41</xdr:row>
      <xdr:rowOff>66675</xdr:rowOff>
    </xdr:from>
    <xdr:to>
      <xdr:col>2</xdr:col>
      <xdr:colOff>960055</xdr:colOff>
      <xdr:row>45</xdr:row>
      <xdr:rowOff>39936</xdr:rowOff>
    </xdr:to>
    <xdr:sp macro="" textlink="">
      <xdr:nvSpPr>
        <xdr:cNvPr id="6" name="Flecha abaj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592332" y="8924925"/>
          <a:ext cx="367848" cy="620961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9525</xdr:colOff>
      <xdr:row>41</xdr:row>
      <xdr:rowOff>123826</xdr:rowOff>
    </xdr:from>
    <xdr:to>
      <xdr:col>1</xdr:col>
      <xdr:colOff>185786</xdr:colOff>
      <xdr:row>45</xdr:row>
      <xdr:rowOff>108404</xdr:rowOff>
    </xdr:to>
    <xdr:sp macro="" textlink="">
      <xdr:nvSpPr>
        <xdr:cNvPr id="7" name="Flecha abaj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525" y="8982076"/>
          <a:ext cx="395336" cy="632278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62947</xdr:colOff>
      <xdr:row>46</xdr:row>
      <xdr:rowOff>142875</xdr:rowOff>
    </xdr:from>
    <xdr:to>
      <xdr:col>1</xdr:col>
      <xdr:colOff>135859</xdr:colOff>
      <xdr:row>48</xdr:row>
      <xdr:rowOff>115957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947" y="9810750"/>
          <a:ext cx="291987" cy="29693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633116</xdr:colOff>
      <xdr:row>46</xdr:row>
      <xdr:rowOff>104775</xdr:rowOff>
    </xdr:from>
    <xdr:to>
      <xdr:col>2</xdr:col>
      <xdr:colOff>141886</xdr:colOff>
      <xdr:row>48</xdr:row>
      <xdr:rowOff>77857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52191" y="9772650"/>
          <a:ext cx="289820" cy="296932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628650</xdr:colOff>
      <xdr:row>46</xdr:row>
      <xdr:rowOff>66675</xdr:rowOff>
    </xdr:from>
    <xdr:to>
      <xdr:col>2</xdr:col>
      <xdr:colOff>920637</xdr:colOff>
      <xdr:row>48</xdr:row>
      <xdr:rowOff>39757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28775" y="9734550"/>
          <a:ext cx="291987" cy="29693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36029</xdr:colOff>
      <xdr:row>49</xdr:row>
      <xdr:rowOff>159027</xdr:rowOff>
    </xdr:from>
    <xdr:to>
      <xdr:col>1</xdr:col>
      <xdr:colOff>196297</xdr:colOff>
      <xdr:row>52</xdr:row>
      <xdr:rowOff>104776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029" y="10312677"/>
          <a:ext cx="379343" cy="431524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588479</xdr:colOff>
      <xdr:row>50</xdr:row>
      <xdr:rowOff>6627</xdr:rowOff>
    </xdr:from>
    <xdr:to>
      <xdr:col>2</xdr:col>
      <xdr:colOff>183274</xdr:colOff>
      <xdr:row>52</xdr:row>
      <xdr:rowOff>114301</xdr:rowOff>
    </xdr:to>
    <xdr:sp macro="" textlink="">
      <xdr:nvSpPr>
        <xdr:cNvPr id="12" name="Triángulo isóscele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7554" y="10322202"/>
          <a:ext cx="375845" cy="431524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554107</xdr:colOff>
      <xdr:row>49</xdr:row>
      <xdr:rowOff>159027</xdr:rowOff>
    </xdr:from>
    <xdr:to>
      <xdr:col>2</xdr:col>
      <xdr:colOff>933450</xdr:colOff>
      <xdr:row>52</xdr:row>
      <xdr:rowOff>104776</xdr:rowOff>
    </xdr:to>
    <xdr:sp macro="" textlink="">
      <xdr:nvSpPr>
        <xdr:cNvPr id="13" name="Triángulo isóscele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554232" y="10312677"/>
          <a:ext cx="379343" cy="431524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P91"/>
  <sheetViews>
    <sheetView tabSelected="1" zoomScaleNormal="100" workbookViewId="0">
      <pane ySplit="6" topLeftCell="A7" activePane="bottomLeft" state="frozen"/>
      <selection pane="bottomLeft" activeCell="T10" sqref="T10"/>
    </sheetView>
  </sheetViews>
  <sheetFormatPr baseColWidth="10" defaultColWidth="9.33203125" defaultRowHeight="12.75" x14ac:dyDescent="0.2"/>
  <cols>
    <col min="1" max="1" width="3.83203125" customWidth="1"/>
    <col min="2" max="2" width="13.6640625" customWidth="1"/>
    <col min="3" max="3" width="26.5" customWidth="1"/>
    <col min="4" max="4" width="18.83203125" customWidth="1"/>
    <col min="5" max="5" width="4.33203125" customWidth="1"/>
    <col min="6" max="6" width="4" customWidth="1"/>
    <col min="7" max="7" width="3.33203125" customWidth="1"/>
    <col min="8" max="8" width="4.5" customWidth="1"/>
    <col min="9" max="9" width="3.33203125" customWidth="1"/>
    <col min="10" max="10" width="3.5" customWidth="1"/>
    <col min="11" max="11" width="3.83203125" customWidth="1"/>
    <col min="12" max="12" width="4.6640625" customWidth="1"/>
    <col min="13" max="13" width="3.6640625" customWidth="1"/>
    <col min="14" max="14" width="4.1640625" customWidth="1"/>
    <col min="15" max="15" width="3.6640625" customWidth="1"/>
    <col min="16" max="26" width="3.1640625" customWidth="1"/>
    <col min="27" max="28" width="4" customWidth="1"/>
    <col min="29" max="29" width="3.5" customWidth="1"/>
    <col min="30" max="31" width="4" customWidth="1"/>
    <col min="32" max="32" width="3.33203125" customWidth="1"/>
    <col min="33" max="33" width="3.5" customWidth="1"/>
    <col min="34" max="34" width="4.5" customWidth="1"/>
    <col min="35" max="35" width="3.5" customWidth="1"/>
    <col min="36" max="36" width="3.83203125" customWidth="1"/>
    <col min="37" max="37" width="3.6640625" customWidth="1"/>
    <col min="38" max="38" width="3.5" customWidth="1"/>
    <col min="39" max="39" width="3.83203125" customWidth="1"/>
    <col min="40" max="40" width="3.6640625" customWidth="1"/>
    <col min="41" max="41" width="21.1640625" bestFit="1" customWidth="1"/>
  </cols>
  <sheetData>
    <row r="3" spans="1:41" ht="13.5" thickBot="1" x14ac:dyDescent="0.25"/>
    <row r="4" spans="1:41" ht="46.5" customHeight="1" thickBot="1" x14ac:dyDescent="0.25">
      <c r="A4" s="62" t="s">
        <v>113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4"/>
    </row>
    <row r="5" spans="1:41" ht="41.85" customHeight="1" x14ac:dyDescent="0.2">
      <c r="A5" s="65" t="s">
        <v>0</v>
      </c>
      <c r="B5" s="57" t="s">
        <v>88</v>
      </c>
      <c r="C5" s="55" t="s">
        <v>46</v>
      </c>
      <c r="D5" s="67" t="s">
        <v>47</v>
      </c>
      <c r="E5" s="59" t="s">
        <v>122</v>
      </c>
      <c r="F5" s="60"/>
      <c r="G5" s="61"/>
      <c r="H5" s="59" t="s">
        <v>123</v>
      </c>
      <c r="I5" s="60"/>
      <c r="J5" s="61"/>
      <c r="K5" s="59" t="s">
        <v>124</v>
      </c>
      <c r="L5" s="60"/>
      <c r="M5" s="61"/>
      <c r="N5" s="59" t="s">
        <v>125</v>
      </c>
      <c r="O5" s="60"/>
      <c r="P5" s="61"/>
      <c r="Q5" s="59" t="s">
        <v>126</v>
      </c>
      <c r="R5" s="60"/>
      <c r="S5" s="61"/>
      <c r="T5" s="59" t="s">
        <v>127</v>
      </c>
      <c r="U5" s="60"/>
      <c r="V5" s="61"/>
      <c r="W5" s="59" t="s">
        <v>128</v>
      </c>
      <c r="X5" s="60"/>
      <c r="Y5" s="61"/>
      <c r="Z5" s="59" t="s">
        <v>129</v>
      </c>
      <c r="AA5" s="60"/>
      <c r="AB5" s="61"/>
      <c r="AC5" s="59" t="s">
        <v>130</v>
      </c>
      <c r="AD5" s="60"/>
      <c r="AE5" s="61"/>
      <c r="AF5" s="59" t="s">
        <v>131</v>
      </c>
      <c r="AG5" s="60"/>
      <c r="AH5" s="61"/>
      <c r="AI5" s="59" t="s">
        <v>132</v>
      </c>
      <c r="AJ5" s="60"/>
      <c r="AK5" s="61"/>
      <c r="AL5" s="59" t="s">
        <v>133</v>
      </c>
      <c r="AM5" s="60"/>
      <c r="AN5" s="61"/>
      <c r="AO5" s="5" t="s">
        <v>48</v>
      </c>
    </row>
    <row r="6" spans="1:41" ht="11.25" customHeight="1" x14ac:dyDescent="0.2">
      <c r="A6" s="66"/>
      <c r="B6" s="58"/>
      <c r="C6" s="56"/>
      <c r="D6" s="68"/>
      <c r="E6" s="1">
        <v>10</v>
      </c>
      <c r="F6" s="1">
        <v>20</v>
      </c>
      <c r="G6" s="1">
        <v>30</v>
      </c>
      <c r="H6" s="1">
        <v>10</v>
      </c>
      <c r="I6" s="1">
        <v>20</v>
      </c>
      <c r="J6" s="1">
        <v>30</v>
      </c>
      <c r="K6" s="1">
        <v>10</v>
      </c>
      <c r="L6" s="1">
        <v>20</v>
      </c>
      <c r="M6" s="1">
        <v>30</v>
      </c>
      <c r="N6" s="1">
        <v>10</v>
      </c>
      <c r="O6" s="1">
        <v>20</v>
      </c>
      <c r="P6" s="1">
        <v>30</v>
      </c>
      <c r="Q6" s="1">
        <v>10</v>
      </c>
      <c r="R6" s="1">
        <v>20</v>
      </c>
      <c r="S6" s="1">
        <v>30</v>
      </c>
      <c r="T6" s="1">
        <v>10</v>
      </c>
      <c r="U6" s="1">
        <v>20</v>
      </c>
      <c r="V6" s="1">
        <v>30</v>
      </c>
      <c r="W6" s="1">
        <v>10</v>
      </c>
      <c r="X6" s="1">
        <v>20</v>
      </c>
      <c r="Y6" s="1">
        <v>30</v>
      </c>
      <c r="Z6" s="1">
        <v>10</v>
      </c>
      <c r="AA6" s="1">
        <v>20</v>
      </c>
      <c r="AB6" s="1">
        <v>30</v>
      </c>
      <c r="AC6" s="1">
        <v>10</v>
      </c>
      <c r="AD6" s="1">
        <v>20</v>
      </c>
      <c r="AE6" s="1">
        <v>30</v>
      </c>
      <c r="AF6" s="1">
        <v>10</v>
      </c>
      <c r="AG6" s="1">
        <v>20</v>
      </c>
      <c r="AH6" s="1">
        <v>30</v>
      </c>
      <c r="AI6" s="1">
        <v>10</v>
      </c>
      <c r="AJ6" s="1">
        <v>20</v>
      </c>
      <c r="AK6" s="1">
        <v>30</v>
      </c>
      <c r="AL6" s="1">
        <v>10</v>
      </c>
      <c r="AM6" s="1">
        <v>20</v>
      </c>
      <c r="AN6" s="1">
        <v>30</v>
      </c>
      <c r="AO6" s="2"/>
    </row>
    <row r="7" spans="1:41" ht="14.25" customHeight="1" x14ac:dyDescent="0.2">
      <c r="A7" s="3">
        <v>1</v>
      </c>
      <c r="B7" s="13" t="s">
        <v>67</v>
      </c>
      <c r="C7" s="37" t="s">
        <v>58</v>
      </c>
      <c r="D7" s="38" t="s">
        <v>100</v>
      </c>
      <c r="E7" s="28">
        <v>1</v>
      </c>
      <c r="F7" s="28">
        <v>1</v>
      </c>
      <c r="G7" s="28">
        <v>2</v>
      </c>
      <c r="H7" s="28">
        <v>1</v>
      </c>
      <c r="I7" s="28">
        <v>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15">
        <v>4</v>
      </c>
      <c r="AK7" s="15">
        <v>5</v>
      </c>
      <c r="AL7" s="15">
        <v>6</v>
      </c>
      <c r="AM7" s="15">
        <v>5</v>
      </c>
      <c r="AN7" s="15">
        <v>4</v>
      </c>
      <c r="AO7" s="16" t="s">
        <v>85</v>
      </c>
    </row>
    <row r="8" spans="1:41" ht="14.25" customHeight="1" x14ac:dyDescent="0.2">
      <c r="A8" s="3">
        <v>2</v>
      </c>
      <c r="B8" s="13" t="s">
        <v>68</v>
      </c>
      <c r="C8" s="37" t="s">
        <v>60</v>
      </c>
      <c r="D8" s="38" t="s">
        <v>49</v>
      </c>
      <c r="E8" s="4"/>
      <c r="F8" s="4"/>
      <c r="G8" s="14">
        <v>3</v>
      </c>
      <c r="H8" s="14">
        <v>4</v>
      </c>
      <c r="I8" s="14">
        <v>5</v>
      </c>
      <c r="J8" s="14">
        <v>6</v>
      </c>
      <c r="K8" s="14">
        <v>5</v>
      </c>
      <c r="L8" s="14">
        <v>4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14">
        <v>5</v>
      </c>
      <c r="AB8" s="14">
        <v>6</v>
      </c>
      <c r="AC8" s="14">
        <v>7</v>
      </c>
      <c r="AD8" s="14">
        <v>7</v>
      </c>
      <c r="AE8" s="14">
        <v>8</v>
      </c>
      <c r="AF8" s="14">
        <v>7</v>
      </c>
      <c r="AG8" s="14">
        <v>6</v>
      </c>
      <c r="AH8" s="14">
        <v>5</v>
      </c>
      <c r="AI8" s="14">
        <v>5</v>
      </c>
      <c r="AJ8" s="4"/>
      <c r="AK8" s="4"/>
      <c r="AL8" s="4"/>
      <c r="AM8" s="4"/>
      <c r="AN8" s="4"/>
      <c r="AO8" s="16" t="s">
        <v>101</v>
      </c>
    </row>
    <row r="9" spans="1:41" ht="14.25" customHeight="1" x14ac:dyDescent="0.2">
      <c r="A9" s="3">
        <v>3</v>
      </c>
      <c r="B9" s="13" t="s">
        <v>68</v>
      </c>
      <c r="C9" s="37" t="s">
        <v>115</v>
      </c>
      <c r="D9" s="39" t="s">
        <v>50</v>
      </c>
      <c r="E9" s="4"/>
      <c r="F9" s="4"/>
      <c r="G9" s="4"/>
      <c r="H9" s="4"/>
      <c r="I9" s="35"/>
      <c r="J9" s="35"/>
      <c r="K9" s="35"/>
      <c r="L9" s="35"/>
      <c r="M9" s="35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23">
        <v>4</v>
      </c>
      <c r="AB9" s="23">
        <v>4</v>
      </c>
      <c r="AC9" s="23">
        <v>5</v>
      </c>
      <c r="AD9" s="23">
        <v>5</v>
      </c>
      <c r="AE9" s="23">
        <v>4</v>
      </c>
      <c r="AF9" s="23">
        <v>4</v>
      </c>
      <c r="AG9" s="4"/>
      <c r="AH9" s="4"/>
      <c r="AI9" s="4"/>
      <c r="AJ9" s="4"/>
      <c r="AK9" s="4"/>
      <c r="AL9" s="4"/>
      <c r="AM9" s="4"/>
      <c r="AN9" s="4"/>
      <c r="AO9" s="2" t="s">
        <v>101</v>
      </c>
    </row>
    <row r="10" spans="1:41" ht="14.25" customHeight="1" x14ac:dyDescent="0.2">
      <c r="A10" s="3">
        <v>4</v>
      </c>
      <c r="B10" s="13" t="s">
        <v>68</v>
      </c>
      <c r="C10" s="37" t="s">
        <v>62</v>
      </c>
      <c r="D10" s="39" t="s">
        <v>51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0">
        <v>7</v>
      </c>
      <c r="AE10" s="20">
        <v>8</v>
      </c>
      <c r="AF10" s="20">
        <v>6</v>
      </c>
      <c r="AG10" s="20">
        <v>5</v>
      </c>
      <c r="AH10" s="20">
        <v>4</v>
      </c>
      <c r="AI10" s="4"/>
      <c r="AJ10" s="4"/>
      <c r="AK10" s="4"/>
      <c r="AL10" s="4"/>
      <c r="AM10" s="4"/>
      <c r="AN10" s="4"/>
      <c r="AO10" s="16" t="s">
        <v>101</v>
      </c>
    </row>
    <row r="11" spans="1:41" ht="14.25" customHeight="1" x14ac:dyDescent="0.2">
      <c r="A11" s="3">
        <v>5</v>
      </c>
      <c r="B11" s="13" t="s">
        <v>67</v>
      </c>
      <c r="C11" s="37" t="s">
        <v>59</v>
      </c>
      <c r="D11" s="40" t="s">
        <v>52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21">
        <v>4</v>
      </c>
      <c r="AG11" s="21">
        <v>5</v>
      </c>
      <c r="AH11" s="21">
        <v>5</v>
      </c>
      <c r="AI11" s="21">
        <v>5</v>
      </c>
      <c r="AJ11" s="21">
        <v>4</v>
      </c>
      <c r="AK11" s="21">
        <v>3</v>
      </c>
      <c r="AL11" s="4"/>
      <c r="AM11" s="4"/>
      <c r="AN11" s="4"/>
      <c r="AO11" s="2" t="s">
        <v>85</v>
      </c>
    </row>
    <row r="12" spans="1:41" ht="14.25" customHeight="1" x14ac:dyDescent="0.2">
      <c r="A12" s="3">
        <v>6</v>
      </c>
      <c r="B12" s="13" t="s">
        <v>68</v>
      </c>
      <c r="C12" s="37" t="s">
        <v>61</v>
      </c>
      <c r="D12" s="38" t="s">
        <v>53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29">
        <v>7</v>
      </c>
      <c r="AF12" s="29">
        <v>7</v>
      </c>
      <c r="AG12" s="29">
        <v>8</v>
      </c>
      <c r="AH12" s="29">
        <v>8</v>
      </c>
      <c r="AI12" s="29">
        <v>6</v>
      </c>
      <c r="AJ12" s="4"/>
      <c r="AK12" s="4"/>
      <c r="AL12" s="4"/>
      <c r="AM12" s="4"/>
      <c r="AN12" s="4"/>
      <c r="AO12" s="16" t="s">
        <v>101</v>
      </c>
    </row>
    <row r="13" spans="1:41" ht="14.25" customHeight="1" x14ac:dyDescent="0.2">
      <c r="A13" s="3">
        <v>7</v>
      </c>
      <c r="B13" s="13" t="s">
        <v>69</v>
      </c>
      <c r="C13" s="41" t="s">
        <v>66</v>
      </c>
      <c r="D13" s="39" t="s">
        <v>54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14">
        <v>3</v>
      </c>
      <c r="AJ13" s="14">
        <v>4</v>
      </c>
      <c r="AK13" s="14">
        <v>4</v>
      </c>
      <c r="AL13" s="14">
        <v>5</v>
      </c>
      <c r="AM13" s="14">
        <v>4</v>
      </c>
      <c r="AN13" s="4"/>
      <c r="AO13" s="16" t="s">
        <v>101</v>
      </c>
    </row>
    <row r="14" spans="1:41" ht="14.25" customHeight="1" x14ac:dyDescent="0.2">
      <c r="A14" s="3">
        <v>8</v>
      </c>
      <c r="B14" s="13" t="s">
        <v>68</v>
      </c>
      <c r="C14" s="37" t="s">
        <v>63</v>
      </c>
      <c r="D14" s="38" t="s">
        <v>114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28">
        <v>7</v>
      </c>
      <c r="AG14" s="28">
        <v>7</v>
      </c>
      <c r="AH14" s="28">
        <v>8</v>
      </c>
      <c r="AI14" s="28">
        <v>8</v>
      </c>
      <c r="AJ14" s="28">
        <v>7</v>
      </c>
      <c r="AK14" s="4"/>
      <c r="AL14" s="4"/>
      <c r="AM14" s="4"/>
      <c r="AN14" s="4"/>
      <c r="AO14" s="16" t="s">
        <v>101</v>
      </c>
    </row>
    <row r="15" spans="1:41" ht="14.25" customHeight="1" x14ac:dyDescent="0.2">
      <c r="A15" s="3">
        <v>9</v>
      </c>
      <c r="B15" s="13" t="s">
        <v>68</v>
      </c>
      <c r="C15" s="37" t="s">
        <v>65</v>
      </c>
      <c r="D15" s="38" t="s">
        <v>55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22">
        <v>3</v>
      </c>
      <c r="AB15" s="22">
        <v>3</v>
      </c>
      <c r="AC15" s="22">
        <v>4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16" t="s">
        <v>101</v>
      </c>
    </row>
    <row r="16" spans="1:41" ht="14.25" customHeight="1" x14ac:dyDescent="0.2">
      <c r="A16" s="3">
        <v>10</v>
      </c>
      <c r="B16" s="13" t="s">
        <v>68</v>
      </c>
      <c r="C16" s="37" t="s">
        <v>83</v>
      </c>
      <c r="D16" s="39" t="s">
        <v>56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30">
        <v>3</v>
      </c>
      <c r="AD16" s="30">
        <v>3</v>
      </c>
      <c r="AE16" s="30">
        <v>3</v>
      </c>
      <c r="AF16" s="4"/>
      <c r="AG16" s="4"/>
      <c r="AH16" s="4"/>
      <c r="AI16" s="4"/>
      <c r="AJ16" s="4"/>
      <c r="AK16" s="4"/>
      <c r="AL16" s="4"/>
      <c r="AM16" s="4"/>
      <c r="AN16" s="4"/>
      <c r="AO16" s="16" t="s">
        <v>101</v>
      </c>
    </row>
    <row r="17" spans="1:41" ht="14.25" customHeight="1" x14ac:dyDescent="0.2">
      <c r="A17" s="3">
        <v>11</v>
      </c>
      <c r="B17" s="13" t="s">
        <v>68</v>
      </c>
      <c r="C17" s="42" t="s">
        <v>64</v>
      </c>
      <c r="D17" s="39" t="s">
        <v>57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14">
        <v>1</v>
      </c>
      <c r="AB17" s="14">
        <v>2</v>
      </c>
      <c r="AC17" s="14">
        <v>3</v>
      </c>
      <c r="AD17" s="14">
        <v>2</v>
      </c>
      <c r="AE17" s="14">
        <v>2</v>
      </c>
      <c r="AF17" s="14">
        <v>1</v>
      </c>
      <c r="AG17" s="4"/>
      <c r="AH17" s="4"/>
      <c r="AI17" s="4"/>
      <c r="AJ17" s="4"/>
      <c r="AK17" s="4"/>
      <c r="AL17" s="4"/>
      <c r="AM17" s="4"/>
      <c r="AN17" s="4"/>
      <c r="AO17" s="16" t="s">
        <v>101</v>
      </c>
    </row>
    <row r="18" spans="1:41" ht="14.25" customHeight="1" x14ac:dyDescent="0.2">
      <c r="A18" s="3">
        <v>12</v>
      </c>
      <c r="B18" s="13" t="s">
        <v>67</v>
      </c>
      <c r="C18" s="24" t="s">
        <v>71</v>
      </c>
      <c r="D18" s="13" t="s">
        <v>70</v>
      </c>
      <c r="E18" s="32">
        <v>1</v>
      </c>
      <c r="F18" s="32">
        <v>2</v>
      </c>
      <c r="G18" s="32">
        <v>6</v>
      </c>
      <c r="H18" s="32">
        <v>7</v>
      </c>
      <c r="I18" s="32">
        <v>6</v>
      </c>
      <c r="J18" s="32">
        <v>6</v>
      </c>
      <c r="K18" s="32">
        <v>6</v>
      </c>
      <c r="L18" s="32">
        <v>5</v>
      </c>
      <c r="M18" s="32">
        <v>4</v>
      </c>
      <c r="N18" s="32">
        <v>4</v>
      </c>
      <c r="O18" s="32">
        <v>3</v>
      </c>
      <c r="P18" s="32">
        <v>2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19">
        <v>2</v>
      </c>
      <c r="AI18" s="18">
        <v>2</v>
      </c>
      <c r="AJ18" s="18">
        <v>3</v>
      </c>
      <c r="AK18" s="18">
        <v>4</v>
      </c>
      <c r="AL18" s="19">
        <v>5</v>
      </c>
      <c r="AM18" s="19">
        <v>5</v>
      </c>
      <c r="AN18" s="19">
        <v>6</v>
      </c>
      <c r="AO18" s="2" t="s">
        <v>101</v>
      </c>
    </row>
    <row r="19" spans="1:41" ht="14.25" customHeight="1" x14ac:dyDescent="0.2">
      <c r="A19" s="3">
        <v>13</v>
      </c>
      <c r="B19" s="13" t="s">
        <v>68</v>
      </c>
      <c r="C19" s="24" t="s">
        <v>73</v>
      </c>
      <c r="D19" s="12" t="s">
        <v>72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0">
        <v>6</v>
      </c>
      <c r="AH19" s="20">
        <v>7</v>
      </c>
      <c r="AI19" s="20">
        <v>7</v>
      </c>
      <c r="AJ19" s="20">
        <v>6</v>
      </c>
      <c r="AK19" s="4"/>
      <c r="AL19" s="4"/>
      <c r="AM19" s="4"/>
      <c r="AN19" s="4"/>
      <c r="AO19" s="2" t="s">
        <v>102</v>
      </c>
    </row>
    <row r="20" spans="1:41" ht="14.25" customHeight="1" x14ac:dyDescent="0.2">
      <c r="A20" s="3">
        <v>14</v>
      </c>
      <c r="B20" s="13" t="s">
        <v>67</v>
      </c>
      <c r="C20" s="26" t="s">
        <v>79</v>
      </c>
      <c r="D20" s="12" t="s">
        <v>74</v>
      </c>
      <c r="E20" s="4"/>
      <c r="F20" s="27">
        <v>1</v>
      </c>
      <c r="G20" s="27">
        <v>1</v>
      </c>
      <c r="H20" s="27">
        <v>3</v>
      </c>
      <c r="I20" s="27">
        <v>3</v>
      </c>
      <c r="J20" s="27">
        <v>5</v>
      </c>
      <c r="K20" s="27">
        <v>3</v>
      </c>
      <c r="L20" s="27">
        <v>2</v>
      </c>
      <c r="M20" s="27">
        <v>1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27">
        <v>3</v>
      </c>
      <c r="AI20" s="27">
        <v>3</v>
      </c>
      <c r="AJ20" s="27">
        <v>4</v>
      </c>
      <c r="AK20" s="4"/>
      <c r="AL20" s="4"/>
      <c r="AM20" s="4"/>
      <c r="AN20" s="4"/>
      <c r="AO20" s="16" t="s">
        <v>84</v>
      </c>
    </row>
    <row r="21" spans="1:41" ht="14.25" customHeight="1" x14ac:dyDescent="0.2">
      <c r="A21" s="3">
        <v>15</v>
      </c>
      <c r="B21" s="13" t="s">
        <v>67</v>
      </c>
      <c r="C21" s="26" t="s">
        <v>81</v>
      </c>
      <c r="D21" s="12" t="s">
        <v>75</v>
      </c>
      <c r="E21" s="4"/>
      <c r="F21" s="4"/>
      <c r="G21" s="4"/>
      <c r="H21" s="4"/>
      <c r="I21" s="4"/>
      <c r="J21" s="25">
        <v>4</v>
      </c>
      <c r="K21" s="25">
        <v>4</v>
      </c>
      <c r="L21" s="25">
        <v>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25">
        <v>4</v>
      </c>
      <c r="AI21" s="25">
        <v>4</v>
      </c>
      <c r="AJ21" s="4"/>
      <c r="AK21" s="4"/>
      <c r="AL21" s="4"/>
      <c r="AM21" s="4"/>
      <c r="AN21" s="4"/>
      <c r="AO21" s="2" t="s">
        <v>84</v>
      </c>
    </row>
    <row r="22" spans="1:41" ht="14.25" customHeight="1" x14ac:dyDescent="0.2">
      <c r="A22" s="3">
        <v>16</v>
      </c>
      <c r="B22" s="13" t="s">
        <v>67</v>
      </c>
      <c r="C22" s="43" t="s">
        <v>78</v>
      </c>
      <c r="D22" s="12" t="s">
        <v>76</v>
      </c>
      <c r="E22" s="27">
        <v>1</v>
      </c>
      <c r="F22" s="27">
        <v>3</v>
      </c>
      <c r="G22" s="27">
        <v>3</v>
      </c>
      <c r="H22" s="27">
        <v>5</v>
      </c>
      <c r="I22" s="27">
        <v>7</v>
      </c>
      <c r="J22" s="27">
        <v>5</v>
      </c>
      <c r="K22" s="27">
        <v>5</v>
      </c>
      <c r="L22" s="27">
        <v>3</v>
      </c>
      <c r="M22" s="27">
        <v>1</v>
      </c>
      <c r="N22" s="27">
        <v>1</v>
      </c>
      <c r="O22" s="27">
        <v>1</v>
      </c>
      <c r="P22" s="4"/>
      <c r="Q22" s="4"/>
      <c r="R22" s="27">
        <v>1</v>
      </c>
      <c r="S22" s="27">
        <v>1</v>
      </c>
      <c r="T22" s="4"/>
      <c r="U22" s="4"/>
      <c r="V22" s="4"/>
      <c r="W22" s="4"/>
      <c r="X22" s="4"/>
      <c r="Y22" s="4"/>
      <c r="Z22" s="4"/>
      <c r="AA22" s="27">
        <v>1</v>
      </c>
      <c r="AB22" s="27">
        <v>1</v>
      </c>
      <c r="AC22" s="27">
        <v>1</v>
      </c>
      <c r="AD22" s="27">
        <v>1</v>
      </c>
      <c r="AE22" s="27">
        <v>1</v>
      </c>
      <c r="AF22" s="27">
        <v>2</v>
      </c>
      <c r="AG22" s="27">
        <v>2</v>
      </c>
      <c r="AH22" s="27">
        <v>3</v>
      </c>
      <c r="AI22" s="27">
        <v>3</v>
      </c>
      <c r="AJ22" s="27">
        <v>2</v>
      </c>
      <c r="AK22" s="27">
        <v>2</v>
      </c>
      <c r="AL22" s="27">
        <v>1</v>
      </c>
      <c r="AM22" s="4"/>
      <c r="AN22" s="27">
        <v>1</v>
      </c>
      <c r="AO22" s="2" t="s">
        <v>101</v>
      </c>
    </row>
    <row r="23" spans="1:41" ht="14.25" customHeight="1" x14ac:dyDescent="0.2">
      <c r="A23" s="3">
        <v>17</v>
      </c>
      <c r="B23" s="13" t="s">
        <v>67</v>
      </c>
      <c r="C23" s="26" t="s">
        <v>80</v>
      </c>
      <c r="D23" s="12" t="s">
        <v>98</v>
      </c>
      <c r="E23" s="28">
        <v>1</v>
      </c>
      <c r="F23" s="28">
        <v>1</v>
      </c>
      <c r="G23" s="28">
        <v>2</v>
      </c>
      <c r="H23" s="28">
        <v>3</v>
      </c>
      <c r="I23" s="28">
        <v>3</v>
      </c>
      <c r="J23" s="28">
        <v>5</v>
      </c>
      <c r="K23" s="28">
        <v>5</v>
      </c>
      <c r="L23" s="28">
        <v>5</v>
      </c>
      <c r="M23" s="28">
        <v>2</v>
      </c>
      <c r="N23" s="28">
        <v>2</v>
      </c>
      <c r="O23" s="28">
        <v>1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16" t="s">
        <v>101</v>
      </c>
    </row>
    <row r="24" spans="1:41" ht="14.25" customHeight="1" x14ac:dyDescent="0.2">
      <c r="A24" s="3">
        <v>18</v>
      </c>
      <c r="B24" s="13" t="s">
        <v>67</v>
      </c>
      <c r="C24" s="13" t="s">
        <v>82</v>
      </c>
      <c r="D24" s="12" t="s">
        <v>77</v>
      </c>
      <c r="E24" s="4"/>
      <c r="F24" s="4"/>
      <c r="G24" s="4"/>
      <c r="H24" s="4"/>
      <c r="I24" s="4"/>
      <c r="J24" s="4"/>
      <c r="K24" s="15">
        <v>2</v>
      </c>
      <c r="L24" s="15">
        <v>3</v>
      </c>
      <c r="M24" s="15">
        <v>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15">
        <v>2</v>
      </c>
      <c r="AK24" s="15">
        <v>3</v>
      </c>
      <c r="AL24" s="15">
        <v>2</v>
      </c>
      <c r="AM24" s="4"/>
      <c r="AN24" s="4"/>
      <c r="AO24" s="2" t="s">
        <v>84</v>
      </c>
    </row>
    <row r="25" spans="1:41" ht="14.25" customHeight="1" x14ac:dyDescent="0.2">
      <c r="A25" s="3">
        <v>19</v>
      </c>
      <c r="B25" s="13" t="s">
        <v>68</v>
      </c>
      <c r="C25" s="13" t="s">
        <v>87</v>
      </c>
      <c r="D25" s="12" t="s">
        <v>86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19">
        <v>3</v>
      </c>
      <c r="AD25" s="19">
        <v>3</v>
      </c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16" t="s">
        <v>101</v>
      </c>
    </row>
    <row r="26" spans="1:41" ht="14.25" customHeight="1" x14ac:dyDescent="0.2">
      <c r="A26" s="3">
        <v>20</v>
      </c>
      <c r="B26" s="13" t="s">
        <v>89</v>
      </c>
      <c r="C26" s="13" t="s">
        <v>91</v>
      </c>
      <c r="D26" s="12" t="s">
        <v>90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19">
        <v>2</v>
      </c>
      <c r="AL26" s="19">
        <v>2</v>
      </c>
      <c r="AM26" s="4"/>
      <c r="AN26" s="4"/>
      <c r="AO26" s="16" t="s">
        <v>101</v>
      </c>
    </row>
    <row r="27" spans="1:41" ht="14.25" customHeight="1" x14ac:dyDescent="0.2">
      <c r="A27" s="3">
        <v>21</v>
      </c>
      <c r="B27" s="13" t="s">
        <v>67</v>
      </c>
      <c r="C27" s="34" t="s">
        <v>104</v>
      </c>
      <c r="D27" s="4" t="s">
        <v>103</v>
      </c>
      <c r="E27" s="4"/>
      <c r="F27" s="4"/>
      <c r="G27" s="4"/>
      <c r="H27" s="4"/>
      <c r="I27" s="4"/>
      <c r="J27" s="19">
        <v>4</v>
      </c>
      <c r="K27" s="19">
        <v>5</v>
      </c>
      <c r="L27" s="19">
        <v>6</v>
      </c>
      <c r="M27" s="19">
        <v>7</v>
      </c>
      <c r="N27" s="19">
        <v>6</v>
      </c>
      <c r="O27" s="19">
        <v>5</v>
      </c>
      <c r="P27" s="19">
        <v>4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16" t="s">
        <v>101</v>
      </c>
    </row>
    <row r="28" spans="1:41" ht="14.25" customHeight="1" x14ac:dyDescent="0.2">
      <c r="A28" s="3">
        <v>22</v>
      </c>
      <c r="B28" s="13" t="s">
        <v>67</v>
      </c>
      <c r="C28" s="12" t="s">
        <v>92</v>
      </c>
      <c r="D28" s="13" t="s">
        <v>105</v>
      </c>
      <c r="E28" s="4"/>
      <c r="F28" s="4"/>
      <c r="G28" s="4"/>
      <c r="H28" s="4"/>
      <c r="I28" s="4"/>
      <c r="J28" s="33">
        <v>3</v>
      </c>
      <c r="K28" s="33">
        <v>4</v>
      </c>
      <c r="L28" s="33">
        <v>5</v>
      </c>
      <c r="M28" s="33">
        <v>5</v>
      </c>
      <c r="N28" s="33">
        <v>4</v>
      </c>
      <c r="O28" s="33">
        <v>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16" t="s">
        <v>101</v>
      </c>
    </row>
    <row r="29" spans="1:41" ht="14.25" customHeight="1" x14ac:dyDescent="0.2">
      <c r="A29" s="3">
        <v>23</v>
      </c>
      <c r="B29" s="13" t="s">
        <v>67</v>
      </c>
      <c r="C29" s="34" t="s">
        <v>106</v>
      </c>
      <c r="D29" s="13" t="s">
        <v>93</v>
      </c>
      <c r="E29" s="4"/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35"/>
      <c r="AD29" s="35"/>
      <c r="AE29" s="35"/>
      <c r="AF29" s="4"/>
      <c r="AG29" s="4"/>
      <c r="AH29" s="4"/>
      <c r="AI29" s="4"/>
      <c r="AJ29" s="4"/>
      <c r="AK29" s="4"/>
      <c r="AL29" s="4"/>
      <c r="AM29" s="4"/>
      <c r="AN29" s="4"/>
      <c r="AO29" s="16" t="s">
        <v>85</v>
      </c>
    </row>
    <row r="30" spans="1:41" ht="14.25" customHeight="1" x14ac:dyDescent="0.2">
      <c r="A30" s="3">
        <v>24</v>
      </c>
      <c r="B30" s="13" t="s">
        <v>67</v>
      </c>
      <c r="C30" s="44" t="s">
        <v>111</v>
      </c>
      <c r="D30" s="13" t="s">
        <v>110</v>
      </c>
      <c r="E30" s="4"/>
      <c r="F30" s="35"/>
      <c r="G30" s="35"/>
      <c r="H30" s="35"/>
      <c r="I30" s="35"/>
      <c r="J30" s="35"/>
      <c r="K30" s="4"/>
      <c r="L30" s="4"/>
      <c r="M30" s="4"/>
      <c r="N30" s="36">
        <v>1</v>
      </c>
      <c r="O30" s="36">
        <v>1</v>
      </c>
      <c r="P30" s="36">
        <v>1</v>
      </c>
      <c r="Q30" s="36">
        <v>1</v>
      </c>
      <c r="R30" s="36">
        <v>1</v>
      </c>
      <c r="S30" s="36">
        <v>1</v>
      </c>
      <c r="T30" s="36">
        <v>1</v>
      </c>
      <c r="U30" s="36">
        <v>1</v>
      </c>
      <c r="V30" s="36">
        <v>1</v>
      </c>
      <c r="W30" s="4"/>
      <c r="X30" s="4"/>
      <c r="Y30" s="4"/>
      <c r="Z30" s="4"/>
      <c r="AA30" s="4"/>
      <c r="AB30" s="4"/>
      <c r="AC30" s="35"/>
      <c r="AD30" s="35"/>
      <c r="AE30" s="35"/>
      <c r="AF30" s="4"/>
      <c r="AG30" s="4"/>
      <c r="AH30" s="4"/>
      <c r="AI30" s="4"/>
      <c r="AJ30" s="4"/>
      <c r="AK30" s="4"/>
      <c r="AL30" s="4"/>
      <c r="AM30" s="4"/>
      <c r="AN30" s="4"/>
      <c r="AO30" s="16" t="s">
        <v>112</v>
      </c>
    </row>
    <row r="31" spans="1:41" ht="14.25" customHeight="1" x14ac:dyDescent="0.2">
      <c r="A31" s="3">
        <v>25</v>
      </c>
      <c r="B31" s="13" t="s">
        <v>68</v>
      </c>
      <c r="C31" s="26" t="s">
        <v>119</v>
      </c>
      <c r="D31" s="13" t="s">
        <v>118</v>
      </c>
      <c r="E31" s="4"/>
      <c r="F31" s="35"/>
      <c r="G31" s="35"/>
      <c r="H31" s="35"/>
      <c r="I31" s="35"/>
      <c r="J31" s="35"/>
      <c r="K31" s="4"/>
      <c r="L31" s="4"/>
      <c r="M31" s="4"/>
      <c r="N31" s="35"/>
      <c r="O31" s="35"/>
      <c r="P31" s="35"/>
      <c r="Q31" s="35"/>
      <c r="R31" s="35"/>
      <c r="S31" s="35"/>
      <c r="T31" s="35"/>
      <c r="U31" s="35"/>
      <c r="V31" s="35"/>
      <c r="W31" s="4"/>
      <c r="X31" s="4"/>
      <c r="Y31" s="4"/>
      <c r="Z31" s="4"/>
      <c r="AA31" s="4"/>
      <c r="AB31" s="4"/>
      <c r="AC31" s="35"/>
      <c r="AD31" s="35"/>
      <c r="AE31" s="35"/>
      <c r="AF31" s="17">
        <v>2</v>
      </c>
      <c r="AG31" s="17">
        <v>2</v>
      </c>
      <c r="AH31" s="17">
        <v>3</v>
      </c>
      <c r="AI31" s="17">
        <v>3</v>
      </c>
      <c r="AJ31" s="17">
        <v>2</v>
      </c>
      <c r="AK31" s="4"/>
      <c r="AL31" s="4"/>
      <c r="AM31" s="4"/>
      <c r="AN31" s="4"/>
      <c r="AO31" s="16" t="s">
        <v>112</v>
      </c>
    </row>
    <row r="32" spans="1:41" ht="14.25" customHeight="1" x14ac:dyDescent="0.2">
      <c r="A32" s="3">
        <v>26</v>
      </c>
      <c r="B32" s="13" t="s">
        <v>68</v>
      </c>
      <c r="C32" s="49" t="s">
        <v>121</v>
      </c>
      <c r="D32" s="13" t="s">
        <v>120</v>
      </c>
      <c r="E32" s="4"/>
      <c r="F32" s="35"/>
      <c r="G32" s="35"/>
      <c r="H32" s="35"/>
      <c r="I32" s="35"/>
      <c r="J32" s="35"/>
      <c r="K32" s="4"/>
      <c r="L32" s="48">
        <v>1</v>
      </c>
      <c r="M32" s="48">
        <v>1</v>
      </c>
      <c r="N32" s="48">
        <v>2</v>
      </c>
      <c r="O32" s="48">
        <v>2</v>
      </c>
      <c r="P32" s="48">
        <v>1</v>
      </c>
      <c r="Q32" s="35"/>
      <c r="R32" s="35"/>
      <c r="S32" s="35"/>
      <c r="T32" s="35"/>
      <c r="U32" s="35"/>
      <c r="V32" s="35"/>
      <c r="W32" s="4"/>
      <c r="X32" s="4"/>
      <c r="Y32" s="4"/>
      <c r="Z32" s="4"/>
      <c r="AA32" s="4"/>
      <c r="AB32" s="4"/>
      <c r="AC32" s="35"/>
      <c r="AD32" s="35"/>
      <c r="AE32" s="35"/>
      <c r="AF32" s="4"/>
      <c r="AG32" s="4"/>
      <c r="AH32" s="4"/>
      <c r="AI32" s="4"/>
      <c r="AJ32" s="4"/>
      <c r="AK32" s="4"/>
      <c r="AL32" s="4"/>
      <c r="AM32" s="4"/>
      <c r="AN32" s="4"/>
      <c r="AO32" s="16" t="s">
        <v>101</v>
      </c>
    </row>
    <row r="33" spans="1:41" ht="14.25" customHeight="1" x14ac:dyDescent="0.2">
      <c r="A33" s="3">
        <v>27</v>
      </c>
      <c r="B33" s="13" t="s">
        <v>67</v>
      </c>
      <c r="C33" s="43" t="s">
        <v>117</v>
      </c>
      <c r="D33" s="13" t="s">
        <v>116</v>
      </c>
      <c r="E33" s="4"/>
      <c r="F33" s="35"/>
      <c r="G33" s="35"/>
      <c r="H33" s="35"/>
      <c r="I33" s="35"/>
      <c r="J33" s="35"/>
      <c r="K33" s="4"/>
      <c r="L33" s="4"/>
      <c r="M33" s="4"/>
      <c r="N33" s="35"/>
      <c r="O33" s="35"/>
      <c r="P33" s="35"/>
      <c r="Q33" s="35"/>
      <c r="R33" s="14">
        <v>1</v>
      </c>
      <c r="S33" s="14">
        <v>1</v>
      </c>
      <c r="T33" s="14">
        <v>2</v>
      </c>
      <c r="U33" s="14">
        <v>2</v>
      </c>
      <c r="V33" s="14">
        <v>2</v>
      </c>
      <c r="W33" s="14">
        <v>1</v>
      </c>
      <c r="X33" s="14">
        <v>1</v>
      </c>
      <c r="Y33" s="4"/>
      <c r="Z33" s="4"/>
      <c r="AA33" s="4"/>
      <c r="AB33" s="4"/>
      <c r="AC33" s="35"/>
      <c r="AD33" s="35"/>
      <c r="AE33" s="35"/>
      <c r="AF33" s="4"/>
      <c r="AG33" s="4"/>
      <c r="AH33" s="4"/>
      <c r="AI33" s="4"/>
      <c r="AJ33" s="4"/>
      <c r="AK33" s="4"/>
      <c r="AL33" s="4"/>
      <c r="AM33" s="4"/>
      <c r="AN33" s="4"/>
      <c r="AO33" s="16" t="s">
        <v>101</v>
      </c>
    </row>
    <row r="34" spans="1:41" ht="14.25" customHeight="1" x14ac:dyDescent="0.2">
      <c r="A34" s="3">
        <v>28</v>
      </c>
      <c r="B34" s="13" t="s">
        <v>68</v>
      </c>
      <c r="C34" s="34" t="s">
        <v>109</v>
      </c>
      <c r="D34" s="13" t="s">
        <v>107</v>
      </c>
      <c r="E34" s="4"/>
      <c r="F34" s="4"/>
      <c r="G34" s="4"/>
      <c r="H34" s="4"/>
      <c r="I34" s="4"/>
      <c r="J34" s="4"/>
      <c r="K34" s="25">
        <v>1</v>
      </c>
      <c r="L34" s="25">
        <v>1</v>
      </c>
      <c r="M34" s="25">
        <v>1</v>
      </c>
      <c r="N34" s="25">
        <v>1</v>
      </c>
      <c r="O34" s="25">
        <v>1</v>
      </c>
      <c r="P34" s="25">
        <v>1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25">
        <v>2</v>
      </c>
      <c r="AD34" s="25">
        <v>2</v>
      </c>
      <c r="AE34" s="25">
        <v>2</v>
      </c>
      <c r="AF34" s="4"/>
      <c r="AG34" s="4"/>
      <c r="AH34" s="4"/>
      <c r="AI34" s="4"/>
      <c r="AJ34" s="4"/>
      <c r="AK34" s="4"/>
      <c r="AL34" s="4"/>
      <c r="AM34" s="4"/>
      <c r="AN34" s="4"/>
      <c r="AO34" s="16" t="s">
        <v>108</v>
      </c>
    </row>
    <row r="35" spans="1:41" ht="14.25" customHeight="1" x14ac:dyDescent="0.2">
      <c r="A35" s="3">
        <v>29</v>
      </c>
      <c r="B35" s="13" t="s">
        <v>67</v>
      </c>
      <c r="C35" s="12" t="s">
        <v>96</v>
      </c>
      <c r="D35" s="49" t="s">
        <v>95</v>
      </c>
      <c r="E35" s="4"/>
      <c r="F35" s="4"/>
      <c r="G35" s="28">
        <v>1</v>
      </c>
      <c r="H35" s="28">
        <v>2</v>
      </c>
      <c r="I35" s="28">
        <v>3</v>
      </c>
      <c r="J35" s="28">
        <v>3</v>
      </c>
      <c r="K35" s="28">
        <v>2</v>
      </c>
      <c r="L35" s="28">
        <v>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16" t="s">
        <v>101</v>
      </c>
    </row>
    <row r="36" spans="1:41" ht="14.25" customHeight="1" thickBot="1" x14ac:dyDescent="0.25">
      <c r="A36" s="3">
        <v>30</v>
      </c>
      <c r="B36" s="45" t="s">
        <v>67</v>
      </c>
      <c r="C36" s="46" t="s">
        <v>97</v>
      </c>
      <c r="D36" s="47" t="s">
        <v>94</v>
      </c>
      <c r="E36" s="50"/>
      <c r="F36" s="50"/>
      <c r="G36" s="51">
        <v>2</v>
      </c>
      <c r="H36" s="51">
        <v>3</v>
      </c>
      <c r="I36" s="51">
        <v>3</v>
      </c>
      <c r="J36" s="51">
        <v>2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16" t="s">
        <v>85</v>
      </c>
    </row>
    <row r="37" spans="1:41" ht="59.25" customHeight="1" thickBot="1" x14ac:dyDescent="0.25">
      <c r="A37" s="52" t="s">
        <v>99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4"/>
    </row>
    <row r="38" spans="1:41" x14ac:dyDescent="0.2">
      <c r="E38">
        <f t="shared" ref="E38:AN38" si="0">SUM(E7:E36)</f>
        <v>4</v>
      </c>
      <c r="F38">
        <f t="shared" si="0"/>
        <v>9</v>
      </c>
      <c r="G38">
        <f t="shared" si="0"/>
        <v>21</v>
      </c>
      <c r="H38">
        <f t="shared" si="0"/>
        <v>29</v>
      </c>
      <c r="I38">
        <f t="shared" si="0"/>
        <v>32</v>
      </c>
      <c r="J38">
        <f t="shared" si="0"/>
        <v>44</v>
      </c>
      <c r="K38">
        <f t="shared" si="0"/>
        <v>42</v>
      </c>
      <c r="L38">
        <f t="shared" si="0"/>
        <v>40</v>
      </c>
      <c r="M38">
        <f t="shared" si="0"/>
        <v>24</v>
      </c>
      <c r="N38">
        <f t="shared" si="0"/>
        <v>21</v>
      </c>
      <c r="O38">
        <f t="shared" si="0"/>
        <v>17</v>
      </c>
      <c r="P38">
        <f t="shared" si="0"/>
        <v>9</v>
      </c>
      <c r="Q38">
        <f t="shared" si="0"/>
        <v>1</v>
      </c>
      <c r="R38">
        <f t="shared" si="0"/>
        <v>3</v>
      </c>
      <c r="S38">
        <f t="shared" si="0"/>
        <v>3</v>
      </c>
      <c r="T38">
        <f t="shared" si="0"/>
        <v>3</v>
      </c>
      <c r="U38">
        <f t="shared" si="0"/>
        <v>3</v>
      </c>
      <c r="V38">
        <f t="shared" si="0"/>
        <v>3</v>
      </c>
      <c r="W38">
        <f t="shared" si="0"/>
        <v>1</v>
      </c>
      <c r="X38">
        <f t="shared" si="0"/>
        <v>1</v>
      </c>
      <c r="Y38">
        <f t="shared" si="0"/>
        <v>0</v>
      </c>
      <c r="Z38">
        <f t="shared" si="0"/>
        <v>0</v>
      </c>
      <c r="AA38">
        <f t="shared" si="0"/>
        <v>14</v>
      </c>
      <c r="AB38">
        <f t="shared" si="0"/>
        <v>16</v>
      </c>
      <c r="AC38">
        <f t="shared" si="0"/>
        <v>28</v>
      </c>
      <c r="AD38">
        <f t="shared" si="0"/>
        <v>30</v>
      </c>
      <c r="AE38">
        <f t="shared" si="0"/>
        <v>35</v>
      </c>
      <c r="AF38">
        <f t="shared" si="0"/>
        <v>40</v>
      </c>
      <c r="AG38">
        <f t="shared" si="0"/>
        <v>41</v>
      </c>
      <c r="AH38">
        <f t="shared" si="0"/>
        <v>52</v>
      </c>
      <c r="AI38">
        <f t="shared" si="0"/>
        <v>49</v>
      </c>
      <c r="AJ38">
        <f t="shared" si="0"/>
        <v>38</v>
      </c>
      <c r="AK38">
        <f t="shared" si="0"/>
        <v>23</v>
      </c>
      <c r="AL38">
        <f t="shared" si="0"/>
        <v>21</v>
      </c>
      <c r="AM38">
        <f t="shared" si="0"/>
        <v>14</v>
      </c>
      <c r="AN38">
        <f t="shared" si="0"/>
        <v>11</v>
      </c>
    </row>
    <row r="51" spans="2:42" x14ac:dyDescent="0.2">
      <c r="AP51" s="9" t="s">
        <v>8</v>
      </c>
    </row>
    <row r="58" spans="2:42" ht="20.25" x14ac:dyDescent="0.2">
      <c r="Q58" s="8" t="s">
        <v>1</v>
      </c>
    </row>
    <row r="59" spans="2:42" ht="14.25" x14ac:dyDescent="0.2">
      <c r="C59" s="11" t="s">
        <v>45</v>
      </c>
      <c r="AI59" s="11" t="s">
        <v>44</v>
      </c>
    </row>
    <row r="60" spans="2:42" x14ac:dyDescent="0.2">
      <c r="B60" s="6" t="s">
        <v>2</v>
      </c>
      <c r="C60" s="6"/>
      <c r="AI60" s="6" t="s">
        <v>16</v>
      </c>
    </row>
    <row r="61" spans="2:42" ht="15" x14ac:dyDescent="0.25">
      <c r="B61" s="7" t="s">
        <v>3</v>
      </c>
      <c r="C61" s="6"/>
      <c r="AI61" s="6" t="s">
        <v>17</v>
      </c>
    </row>
    <row r="62" spans="2:42" x14ac:dyDescent="0.2">
      <c r="B62" s="6">
        <v>40</v>
      </c>
      <c r="C62" s="6" t="s">
        <v>4</v>
      </c>
      <c r="AI62" s="6" t="s">
        <v>18</v>
      </c>
    </row>
    <row r="63" spans="2:42" x14ac:dyDescent="0.2">
      <c r="B63" s="6">
        <v>21</v>
      </c>
      <c r="C63" s="6" t="s">
        <v>5</v>
      </c>
      <c r="AI63" s="6" t="s">
        <v>19</v>
      </c>
    </row>
    <row r="64" spans="2:42" x14ac:dyDescent="0.2">
      <c r="B64" s="6">
        <v>22</v>
      </c>
      <c r="C64" s="6" t="s">
        <v>6</v>
      </c>
      <c r="AI64" s="6" t="s">
        <v>20</v>
      </c>
    </row>
    <row r="65" spans="2:35" ht="15" x14ac:dyDescent="0.25">
      <c r="B65" s="31">
        <f>SUM(B62:B64)</f>
        <v>83</v>
      </c>
      <c r="C65" s="31" t="s">
        <v>7</v>
      </c>
      <c r="AI65" s="6" t="s">
        <v>21</v>
      </c>
    </row>
    <row r="67" spans="2:35" x14ac:dyDescent="0.2">
      <c r="C67" s="6" t="s">
        <v>9</v>
      </c>
      <c r="E67" s="6"/>
      <c r="F67" s="6"/>
      <c r="G67" s="6"/>
      <c r="H67" s="6"/>
      <c r="I67" s="6"/>
      <c r="K67" s="6"/>
      <c r="L67" s="6"/>
      <c r="M67" s="6"/>
      <c r="N67" s="6"/>
      <c r="O67" s="6"/>
      <c r="AI67" s="6" t="s">
        <v>22</v>
      </c>
    </row>
    <row r="68" spans="2:35" x14ac:dyDescent="0.2">
      <c r="C68" s="6" t="s">
        <v>10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AI68" s="6" t="s">
        <v>23</v>
      </c>
    </row>
    <row r="69" spans="2:35" x14ac:dyDescent="0.2">
      <c r="C69" s="10" t="s">
        <v>11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AI69" s="6" t="s">
        <v>24</v>
      </c>
    </row>
    <row r="70" spans="2:35" x14ac:dyDescent="0.2">
      <c r="C70" s="10" t="s">
        <v>12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AI70" s="6" t="s">
        <v>25</v>
      </c>
    </row>
    <row r="71" spans="2:35" x14ac:dyDescent="0.2">
      <c r="C71" s="10" t="s">
        <v>13</v>
      </c>
      <c r="E71" s="6"/>
      <c r="F71" s="6"/>
      <c r="G71" s="6"/>
      <c r="H71" s="6"/>
      <c r="I71" s="6"/>
      <c r="K71" s="6"/>
      <c r="L71" s="6"/>
      <c r="M71" s="6"/>
      <c r="N71" s="6"/>
      <c r="AI71" s="6" t="s">
        <v>26</v>
      </c>
    </row>
    <row r="72" spans="2:35" x14ac:dyDescent="0.2">
      <c r="C72" s="10" t="s">
        <v>15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AI72" s="6" t="s">
        <v>27</v>
      </c>
    </row>
    <row r="73" spans="2:35" x14ac:dyDescent="0.2">
      <c r="C73" s="10" t="s">
        <v>14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AI73" s="6" t="s">
        <v>28</v>
      </c>
    </row>
    <row r="74" spans="2:35" x14ac:dyDescent="0.2"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35" x14ac:dyDescent="0.2">
      <c r="D75" s="6"/>
      <c r="E75" s="6"/>
      <c r="F75" s="6"/>
      <c r="G75" s="6"/>
      <c r="H75" s="6"/>
      <c r="I75" s="6"/>
      <c r="K75" s="6"/>
      <c r="L75" s="6"/>
      <c r="M75" s="6"/>
      <c r="N75" s="6"/>
      <c r="AI75" s="10" t="s">
        <v>32</v>
      </c>
    </row>
    <row r="76" spans="2:35" x14ac:dyDescent="0.2"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AI76" s="6" t="s">
        <v>29</v>
      </c>
    </row>
    <row r="77" spans="2:35" x14ac:dyDescent="0.2">
      <c r="AI77" s="6" t="s">
        <v>30</v>
      </c>
    </row>
    <row r="78" spans="2:35" x14ac:dyDescent="0.2">
      <c r="AI78" s="6" t="s">
        <v>31</v>
      </c>
    </row>
    <row r="80" spans="2:35" x14ac:dyDescent="0.2">
      <c r="AI80" s="6" t="s">
        <v>33</v>
      </c>
    </row>
    <row r="81" spans="35:35" x14ac:dyDescent="0.2">
      <c r="AI81" s="6" t="s">
        <v>34</v>
      </c>
    </row>
    <row r="82" spans="35:35" x14ac:dyDescent="0.2">
      <c r="AI82" s="6" t="s">
        <v>35</v>
      </c>
    </row>
    <row r="83" spans="35:35" x14ac:dyDescent="0.2">
      <c r="AI83" s="6" t="s">
        <v>36</v>
      </c>
    </row>
    <row r="84" spans="35:35" x14ac:dyDescent="0.2">
      <c r="AI84" s="10" t="s">
        <v>43</v>
      </c>
    </row>
    <row r="85" spans="35:35" x14ac:dyDescent="0.2">
      <c r="AI85" s="6" t="s">
        <v>37</v>
      </c>
    </row>
    <row r="86" spans="35:35" x14ac:dyDescent="0.2">
      <c r="AI86" s="6" t="s">
        <v>38</v>
      </c>
    </row>
    <row r="87" spans="35:35" x14ac:dyDescent="0.2">
      <c r="AI87" s="6" t="s">
        <v>39</v>
      </c>
    </row>
    <row r="88" spans="35:35" x14ac:dyDescent="0.2">
      <c r="AI88" s="6" t="s">
        <v>40</v>
      </c>
    </row>
    <row r="89" spans="35:35" x14ac:dyDescent="0.2">
      <c r="AI89" s="6" t="s">
        <v>41</v>
      </c>
    </row>
    <row r="90" spans="35:35" x14ac:dyDescent="0.2">
      <c r="AI90" s="6" t="s">
        <v>42</v>
      </c>
    </row>
    <row r="91" spans="35:35" x14ac:dyDescent="0.2">
      <c r="AI91" s="6"/>
    </row>
  </sheetData>
  <mergeCells count="18">
    <mergeCell ref="A4:AO4"/>
    <mergeCell ref="N5:P5"/>
    <mergeCell ref="Q5:S5"/>
    <mergeCell ref="T5:V5"/>
    <mergeCell ref="W5:Y5"/>
    <mergeCell ref="Z5:AB5"/>
    <mergeCell ref="A5:A6"/>
    <mergeCell ref="D5:D6"/>
    <mergeCell ref="E5:G5"/>
    <mergeCell ref="H5:J5"/>
    <mergeCell ref="K5:M5"/>
    <mergeCell ref="A37:AO37"/>
    <mergeCell ref="C5:C6"/>
    <mergeCell ref="B5:B6"/>
    <mergeCell ref="AC5:AE5"/>
    <mergeCell ref="AF5:AH5"/>
    <mergeCell ref="AI5:AK5"/>
    <mergeCell ref="AL5:AN5"/>
  </mergeCells>
  <pageMargins left="0.7" right="0.7" top="0.75" bottom="0.75" header="0.3" footer="0.3"/>
  <pageSetup scale="6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PARA ENVIAR ABELHAS OU LARVAS AO LABORATÓRIO</dc:title>
  <dc:creator>HELSON MONTE</dc:creator>
  <cp:lastModifiedBy>Oscar Rafael</cp:lastModifiedBy>
  <cp:lastPrinted>2023-12-01T18:55:30Z</cp:lastPrinted>
  <dcterms:created xsi:type="dcterms:W3CDTF">2021-04-15T21:28:41Z</dcterms:created>
  <dcterms:modified xsi:type="dcterms:W3CDTF">2026-07-03T15:43:32Z</dcterms:modified>
</cp:coreProperties>
</file>