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16F170A1-EB4B-43AC-A1E4-CBD9E20FB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0" i="2" l="1"/>
  <c r="N40" i="2"/>
  <c r="E40" i="2"/>
  <c r="AE40" i="2"/>
  <c r="AN40" i="2"/>
  <c r="B67" i="2"/>
  <c r="F40" i="2" l="1"/>
  <c r="G40" i="2"/>
  <c r="H40" i="2"/>
  <c r="I40" i="2"/>
  <c r="J40" i="2"/>
  <c r="K40" i="2"/>
  <c r="L40" i="2"/>
  <c r="M40" i="2"/>
  <c r="O40" i="2"/>
  <c r="P40" i="2"/>
  <c r="Q40" i="2"/>
  <c r="R40" i="2"/>
  <c r="S40" i="2"/>
  <c r="T40" i="2"/>
  <c r="U40" i="2"/>
  <c r="V40" i="2"/>
  <c r="X40" i="2"/>
  <c r="Y40" i="2"/>
  <c r="Z40" i="2"/>
  <c r="AA40" i="2"/>
  <c r="AB40" i="2"/>
  <c r="AC40" i="2"/>
  <c r="AD40" i="2"/>
  <c r="AF40" i="2"/>
  <c r="AG40" i="2"/>
  <c r="AH40" i="2"/>
  <c r="AI40" i="2"/>
  <c r="AJ40" i="2"/>
  <c r="AK40" i="2"/>
  <c r="AL40" i="2"/>
  <c r="AM40" i="2"/>
</calcChain>
</file>

<file path=xl/sharedStrings.xml><?xml version="1.0" encoding="utf-8"?>
<sst xmlns="http://schemas.openxmlformats.org/spreadsheetml/2006/main" count="204" uniqueCount="139">
  <si>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</si>
  <si>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</si>
  <si>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</si>
  <si>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</si>
  <si>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</si>
  <si>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</si>
  <si>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</si>
  <si>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</si>
  <si>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</si>
  <si>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</si>
  <si>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</si>
  <si>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</si>
  <si>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</si>
  <si>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</si>
  <si>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</si>
  <si>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</si>
  <si>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</si>
  <si>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</si>
  <si>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</si>
  <si>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</si>
  <si>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</si>
  <si>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</si>
  <si>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</si>
  <si>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</si>
  <si>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</si>
  <si>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</si>
  <si>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</si>
  <si>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</si>
  <si>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</si>
  <si>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</si>
  <si>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</si>
  <si>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</si>
  <si>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</si>
  <si>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</si>
  <si>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</si>
  <si>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</si>
  <si>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</si>
  <si>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</si>
  <si>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</si>
  <si>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</si>
  <si>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</si>
  <si>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</si>
  <si>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</si>
  <si>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</si>
  <si>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</si>
  <si>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</si>
  <si>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</si>
  <si>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</si>
  <si>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</si>
  <si>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</si>
  <si>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Arbusto</t>
  </si>
  <si>
    <t>Arbol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</si>
  <si>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</si>
  <si>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Garrancho</t>
  </si>
  <si>
    <t>Pacara</t>
  </si>
  <si>
    <t>Piptadenia boliviana</t>
  </si>
  <si>
    <t>Enterolobium contortisiliquum</t>
  </si>
  <si>
    <t>Quebracho blanco</t>
  </si>
  <si>
    <t>Aspidosperma quebracho-blanco</t>
  </si>
  <si>
    <t>Chañar</t>
  </si>
  <si>
    <t>Sachasandia</t>
  </si>
  <si>
    <t>Algarrobo negro</t>
  </si>
  <si>
    <t>Prosopis nigra</t>
  </si>
  <si>
    <t>Prosopis alba</t>
  </si>
  <si>
    <t>Algarrobo blanco</t>
  </si>
  <si>
    <t>Ancoche</t>
  </si>
  <si>
    <t>Membrillo</t>
  </si>
  <si>
    <t>Meloncillo</t>
  </si>
  <si>
    <t>Bola verde</t>
  </si>
  <si>
    <t>Mistol</t>
  </si>
  <si>
    <t>Algarrobilla</t>
  </si>
  <si>
    <t>Molle</t>
  </si>
  <si>
    <t>Quebrachillo</t>
  </si>
  <si>
    <t>Tala</t>
  </si>
  <si>
    <t>Colorado</t>
  </si>
  <si>
    <t>Bobo</t>
  </si>
  <si>
    <t>Palo cruz</t>
  </si>
  <si>
    <t>Brea</t>
  </si>
  <si>
    <t>Caspi zapallo</t>
  </si>
  <si>
    <t>Palo santo</t>
  </si>
  <si>
    <t>Toborochi</t>
  </si>
  <si>
    <t>Palo flojo</t>
  </si>
  <si>
    <t>Porotilla</t>
  </si>
  <si>
    <t>Chivil</t>
  </si>
  <si>
    <t>Ulala</t>
  </si>
  <si>
    <t>Tunilla</t>
  </si>
  <si>
    <t>Taquillo</t>
  </si>
  <si>
    <t>Tinajero</t>
  </si>
  <si>
    <t>Palo mataco</t>
  </si>
  <si>
    <t>Sachapero</t>
  </si>
  <si>
    <t>Iscayante</t>
  </si>
  <si>
    <t>Patapata</t>
  </si>
  <si>
    <t>Geoffroea decorticans</t>
  </si>
  <si>
    <t>Sarcotoxicum salicifolium</t>
  </si>
  <si>
    <t>Vallesia glabra</t>
  </si>
  <si>
    <r>
      <t> </t>
    </r>
    <r>
      <rPr>
        <sz val="10"/>
        <color rgb="FF001D35"/>
        <rFont val="Times New Roman"/>
        <family val="1"/>
      </rPr>
      <t>Herpestes ichneumon</t>
    </r>
  </si>
  <si>
    <t>Anisocapparis speciosa</t>
  </si>
  <si>
    <t>Sarcomphalus mistol</t>
  </si>
  <si>
    <t>Schinus molle</t>
  </si>
  <si>
    <t>Prosopis humilis</t>
  </si>
  <si>
    <t>Acanthosyris spinescens</t>
  </si>
  <si>
    <t>Tessaria absinthioides</t>
  </si>
  <si>
    <t>Celtis ehrenbergiana</t>
  </si>
  <si>
    <t>Tabebuia nodosa</t>
  </si>
  <si>
    <t>Pisonia zapallo</t>
  </si>
  <si>
    <t xml:space="preserve">Parkinsonia praecox </t>
  </si>
  <si>
    <t>Ceiba camba</t>
  </si>
  <si>
    <t>Vigna luteola</t>
  </si>
  <si>
    <t>Cereus hankeanus</t>
  </si>
  <si>
    <t>Lycium cestroides</t>
  </si>
  <si>
    <t>Airampoa soehrensii</t>
  </si>
  <si>
    <t>Croton orbignyanus</t>
  </si>
  <si>
    <t>Acanthosyris falcata</t>
  </si>
  <si>
    <t>Bauhinia forficata</t>
  </si>
  <si>
    <t>N, Po</t>
  </si>
  <si>
    <t>N, Po, Pr</t>
  </si>
  <si>
    <t>N</t>
  </si>
  <si>
    <t>Anadenanthera colubrina</t>
  </si>
  <si>
    <t>Bougainvillea stipitata</t>
  </si>
  <si>
    <t>Palo huancar</t>
  </si>
  <si>
    <t>Lonchocarpus eriophyllus</t>
  </si>
  <si>
    <t>Capparicordis tweediana</t>
  </si>
  <si>
    <t>Bulnesia sarmientoi</t>
  </si>
  <si>
    <t>Prosopis alpataco</t>
  </si>
  <si>
    <t>Prosopis kuntzei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</si>
  <si>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</si>
  <si>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</si>
  <si>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</si>
  <si>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</si>
  <si>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</si>
  <si>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</si>
  <si>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</si>
  <si>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</si>
  <si>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</si>
  <si>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</si>
  <si>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</si>
  <si>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</si>
  <si>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Mimozyganthus carinatus</t>
  </si>
  <si>
    <t>CALENDÁRIO PARA REGISTRO DE FLORACIONES
MUNICIPIO: YACUIBA
                             LOCALIDAD:  CREVAUX               COMUNIDAD:                                       AÑO 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</si>
</sst>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10"/>
      <color rgb="FF474747"/>
      <name val="Times New Roman"/>
      <family val="1"/>
    </font>
    <font>
      <sz val="10"/>
      <color rgb="FF001D35"/>
      <name val="Times New Roman"/>
      <family val="1"/>
    </font>
    <font>
      <sz val="6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7" fillId="0" borderId="16" xfId="0" applyFont="1" applyFill="1" applyBorder="1" applyAlignment="1">
      <alignment horizontal="left" vertical="top"/>
    </xf>
    <xf numFmtId="0" fontId="0" fillId="14" borderId="3" xfId="0" applyFill="1" applyBorder="1" applyAlignment="1">
      <alignment horizontal="left" wrapText="1"/>
    </xf>
    <xf numFmtId="1" fontId="7" fillId="3" borderId="5" xfId="0" applyNumberFormat="1" applyFont="1" applyFill="1" applyBorder="1" applyAlignment="1">
      <alignment horizontal="center" vertical="top" shrinkToFit="1"/>
    </xf>
    <xf numFmtId="0" fontId="0" fillId="3" borderId="0" xfId="0" applyFill="1" applyBorder="1" applyAlignment="1">
      <alignment horizontal="left" vertical="top"/>
    </xf>
    <xf numFmtId="0" fontId="7" fillId="3" borderId="4" xfId="0" applyFont="1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13" fillId="15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vertical="top"/>
    </xf>
    <xf numFmtId="0" fontId="0" fillId="16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vertical="top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7" fillId="3" borderId="3" xfId="0" applyFont="1" applyFill="1" applyBorder="1" applyAlignment="1">
      <alignment horizontal="left" vertical="top"/>
    </xf>
    <xf numFmtId="0" fontId="0" fillId="19" borderId="3" xfId="0" applyFill="1" applyBorder="1" applyAlignment="1">
      <alignment horizontal="left" wrapText="1"/>
    </xf>
    <xf numFmtId="0" fontId="0" fillId="20" borderId="3" xfId="0" applyFill="1" applyBorder="1" applyAlignment="1">
      <alignment horizontal="left" wrapText="1"/>
    </xf>
    <xf numFmtId="0" fontId="0" fillId="21" borderId="3" xfId="0" applyFill="1" applyBorder="1" applyAlignment="1">
      <alignment horizontal="left" wrapText="1"/>
    </xf>
    <xf numFmtId="0" fontId="0" fillId="22" borderId="3" xfId="0" applyFill="1" applyBorder="1" applyAlignment="1">
      <alignment horizontal="left" wrapText="1"/>
    </xf>
    <xf numFmtId="0" fontId="0" fillId="23" borderId="3" xfId="0" applyFill="1" applyBorder="1" applyAlignment="1">
      <alignment horizontal="left" wrapText="1"/>
    </xf>
    <xf numFmtId="1" fontId="7" fillId="3" borderId="3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center" vertical="top" shrinkToFit="1"/>
    </xf>
    <xf numFmtId="0" fontId="14" fillId="0" borderId="3" xfId="0" applyFont="1" applyFill="1" applyBorder="1" applyAlignment="1">
      <alignment vertical="top"/>
    </xf>
    <xf numFmtId="0" fontId="7" fillId="3" borderId="3" xfId="0" applyFont="1" applyFill="1" applyBorder="1" applyAlignment="1">
      <alignment horizontal="left" wrapText="1"/>
    </xf>
    <xf numFmtId="1" fontId="7" fillId="0" borderId="16" xfId="0" applyNumberFormat="1" applyFont="1" applyFill="1" applyBorder="1" applyAlignment="1">
      <alignment horizontal="center" vertical="top" shrinkToFit="1"/>
    </xf>
    <xf numFmtId="0" fontId="0" fillId="0" borderId="16" xfId="0" applyFill="1" applyBorder="1" applyAlignment="1">
      <alignment horizontal="left" vertical="top"/>
    </xf>
    <xf numFmtId="0" fontId="0" fillId="3" borderId="16" xfId="0" applyFill="1" applyBorder="1" applyAlignment="1">
      <alignment horizontal="left" wrapText="1"/>
    </xf>
    <xf numFmtId="0" fontId="0" fillId="22" borderId="16" xfId="0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6" fillId="0" borderId="8" xfId="0" applyFont="1" applyFill="1" applyBorder="1" applyAlignment="1">
      <alignment horizontal="left" vertical="top" wrapText="1" indent="1"/>
    </xf>
    <xf numFmtId="0" fontId="16" fillId="0" borderId="9" xfId="0" applyFont="1" applyFill="1" applyBorder="1" applyAlignment="1">
      <alignment horizontal="left" vertical="top" wrapText="1" indent="1"/>
    </xf>
    <xf numFmtId="0" fontId="16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  <color rgb="FF3366FF"/>
      <color rgb="FFCBFC2E"/>
      <color rgb="FFFF99CC"/>
      <color rgb="FFFF0000"/>
      <color rgb="FF00FFFF"/>
      <color rgb="FFCCFF33"/>
      <color rgb="FF6600CC"/>
      <color rgb="FFCC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2'!$E$40:$AN$40</c:f>
              <c:numCache>
                <c:formatCode>General</c:formatCode>
                <c:ptCount val="36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9</c:v>
                </c:pt>
                <c:pt idx="19">
                  <c:v>12</c:v>
                </c:pt>
                <c:pt idx="20">
                  <c:v>12</c:v>
                </c:pt>
                <c:pt idx="21">
                  <c:v>22</c:v>
                </c:pt>
                <c:pt idx="22">
                  <c:v>28</c:v>
                </c:pt>
                <c:pt idx="23">
                  <c:v>28</c:v>
                </c:pt>
                <c:pt idx="24">
                  <c:v>38</c:v>
                </c:pt>
                <c:pt idx="25">
                  <c:v>46</c:v>
                </c:pt>
                <c:pt idx="26">
                  <c:v>49</c:v>
                </c:pt>
                <c:pt idx="27">
                  <c:v>42</c:v>
                </c:pt>
                <c:pt idx="28">
                  <c:v>32</c:v>
                </c:pt>
                <c:pt idx="29">
                  <c:v>27</c:v>
                </c:pt>
                <c:pt idx="30">
                  <c:v>31</c:v>
                </c:pt>
                <c:pt idx="31">
                  <c:v>30</c:v>
                </c:pt>
                <c:pt idx="32">
                  <c:v>25</c:v>
                </c:pt>
                <c:pt idx="33">
                  <c:v>19</c:v>
                </c:pt>
                <c:pt idx="34">
                  <c:v>16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41</xdr:row>
      <xdr:rowOff>4762</xdr:rowOff>
    </xdr:from>
    <xdr:to>
      <xdr:col>40</xdr:col>
      <xdr:colOff>333375</xdr:colOff>
      <xdr:row>57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52</xdr:row>
      <xdr:rowOff>57150</xdr:rowOff>
    </xdr:from>
    <xdr:to>
      <xdr:col>40</xdr:col>
      <xdr:colOff>695325</xdr:colOff>
      <xdr:row>52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43</xdr:row>
      <xdr:rowOff>66675</xdr:rowOff>
    </xdr:from>
    <xdr:to>
      <xdr:col>2</xdr:col>
      <xdr:colOff>198710</xdr:colOff>
      <xdr:row>46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43</xdr:row>
      <xdr:rowOff>76201</xdr:rowOff>
    </xdr:from>
    <xdr:to>
      <xdr:col>1</xdr:col>
      <xdr:colOff>176261</xdr:colOff>
      <xdr:row>47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48</xdr:row>
      <xdr:rowOff>142875</xdr:rowOff>
    </xdr:from>
    <xdr:to>
      <xdr:col>1</xdr:col>
      <xdr:colOff>135859</xdr:colOff>
      <xdr:row>50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48</xdr:row>
      <xdr:rowOff>104775</xdr:rowOff>
    </xdr:from>
    <xdr:to>
      <xdr:col>2</xdr:col>
      <xdr:colOff>141886</xdr:colOff>
      <xdr:row>50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48</xdr:row>
      <xdr:rowOff>66675</xdr:rowOff>
    </xdr:from>
    <xdr:to>
      <xdr:col>2</xdr:col>
      <xdr:colOff>920637</xdr:colOff>
      <xdr:row>50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51</xdr:row>
      <xdr:rowOff>159027</xdr:rowOff>
    </xdr:from>
    <xdr:to>
      <xdr:col>1</xdr:col>
      <xdr:colOff>196297</xdr:colOff>
      <xdr:row>54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52</xdr:row>
      <xdr:rowOff>6627</xdr:rowOff>
    </xdr:from>
    <xdr:to>
      <xdr:col>2</xdr:col>
      <xdr:colOff>183274</xdr:colOff>
      <xdr:row>54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51</xdr:row>
      <xdr:rowOff>159027</xdr:rowOff>
    </xdr:from>
    <xdr:to>
      <xdr:col>2</xdr:col>
      <xdr:colOff>933450</xdr:colOff>
      <xdr:row>54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43</xdr:row>
      <xdr:rowOff>57150</xdr:rowOff>
    </xdr:from>
    <xdr:to>
      <xdr:col>2</xdr:col>
      <xdr:colOff>960055</xdr:colOff>
      <xdr:row>47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"/>
  <sheetViews>
    <sheetView tabSelected="1" workbookViewId="0">
      <pane ySplit="1" topLeftCell="A2" activePane="bottomLeft" state="frozen"/>
      <selection pane="bottomLeft" activeCell="A2" sqref="A2:A3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30.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33203125" customWidth="1"/>
    <col min="38" max="39" width="3.1640625" customWidth="1"/>
    <col min="40" max="40" width="4.1640625" customWidth="1"/>
    <col min="41" max="41" width="25.83203125" customWidth="1"/>
  </cols>
  <sheetData>
    <row r="1" spans="1:41" ht="46.5" customHeight="1" thickBot="1" x14ac:dyDescent="0.25">
      <c r="A1" s="68" t="s">
        <v>138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70"/>
    </row>
    <row r="2" spans="1:41" ht="41.85" customHeight="1" x14ac:dyDescent="0.2">
      <c r="A2" s="71" t="s">
        <v>0</v>
      </c>
      <c r="B2" s="63" t="s">
        <v>3</v>
      </c>
      <c r="C2" s="61" t="s">
        <v>2</v>
      </c>
      <c r="D2" s="73" t="s">
        <v>4</v>
      </c>
      <c r="E2" s="65" t="s">
        <v>125</v>
      </c>
      <c r="F2" s="66"/>
      <c r="G2" s="67"/>
      <c r="H2" s="65" t="s">
        <v>126</v>
      </c>
      <c r="I2" s="66"/>
      <c r="J2" s="67"/>
      <c r="K2" s="65" t="s">
        <v>127</v>
      </c>
      <c r="L2" s="66"/>
      <c r="M2" s="67"/>
      <c r="N2" s="65" t="s">
        <v>128</v>
      </c>
      <c r="O2" s="66"/>
      <c r="P2" s="67"/>
      <c r="Q2" s="65" t="s">
        <v>129</v>
      </c>
      <c r="R2" s="66"/>
      <c r="S2" s="67"/>
      <c r="T2" s="65" t="s">
        <v>130</v>
      </c>
      <c r="U2" s="66"/>
      <c r="V2" s="67"/>
      <c r="W2" s="65" t="s">
        <v>131</v>
      </c>
      <c r="X2" s="66"/>
      <c r="Y2" s="67"/>
      <c r="Z2" s="65" t="s">
        <v>132</v>
      </c>
      <c r="AA2" s="66"/>
      <c r="AB2" s="67"/>
      <c r="AC2" s="65" t="s">
        <v>133</v>
      </c>
      <c r="AD2" s="66"/>
      <c r="AE2" s="67"/>
      <c r="AF2" s="65" t="s">
        <v>134</v>
      </c>
      <c r="AG2" s="66"/>
      <c r="AH2" s="67"/>
      <c r="AI2" s="65" t="s">
        <v>135</v>
      </c>
      <c r="AJ2" s="66"/>
      <c r="AK2" s="67"/>
      <c r="AL2" s="65" t="s">
        <v>136</v>
      </c>
      <c r="AM2" s="66"/>
      <c r="AN2" s="67"/>
      <c r="AO2" s="4" t="s">
        <v>1</v>
      </c>
    </row>
    <row r="3" spans="1:41" ht="21.75" customHeight="1" x14ac:dyDescent="0.2">
      <c r="A3" s="72"/>
      <c r="B3" s="64"/>
      <c r="C3" s="62"/>
      <c r="D3" s="74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s="33" customFormat="1" ht="14.25" customHeight="1" x14ac:dyDescent="0.2">
      <c r="A4" s="32">
        <v>1</v>
      </c>
      <c r="B4" s="48" t="s">
        <v>51</v>
      </c>
      <c r="C4" s="37" t="s">
        <v>58</v>
      </c>
      <c r="D4" s="13" t="s">
        <v>57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35">
        <v>1</v>
      </c>
      <c r="AA4" s="35">
        <v>3</v>
      </c>
      <c r="AB4" s="36">
        <v>6</v>
      </c>
      <c r="AC4" s="36">
        <v>6</v>
      </c>
      <c r="AD4" s="36">
        <v>3</v>
      </c>
      <c r="AE4" s="36">
        <v>1</v>
      </c>
      <c r="AF4" s="12"/>
      <c r="AG4" s="12"/>
      <c r="AH4" s="13"/>
      <c r="AI4" s="13"/>
      <c r="AJ4" s="13"/>
      <c r="AK4" s="13"/>
      <c r="AL4" s="13"/>
      <c r="AM4" s="13"/>
      <c r="AN4" s="13"/>
      <c r="AO4" s="34" t="s">
        <v>114</v>
      </c>
    </row>
    <row r="5" spans="1:41" ht="14.25" customHeight="1" x14ac:dyDescent="0.2">
      <c r="A5" s="18">
        <v>2</v>
      </c>
      <c r="B5" s="49" t="s">
        <v>51</v>
      </c>
      <c r="C5" s="20" t="s">
        <v>92</v>
      </c>
      <c r="D5" s="15" t="s">
        <v>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1">
        <v>4</v>
      </c>
      <c r="W5" s="31">
        <v>4</v>
      </c>
      <c r="X5" s="31">
        <v>4</v>
      </c>
      <c r="Y5" s="31">
        <v>5</v>
      </c>
      <c r="Z5" s="31">
        <v>4</v>
      </c>
      <c r="AA5" s="31">
        <v>2</v>
      </c>
      <c r="AB5" s="31">
        <v>1</v>
      </c>
      <c r="AC5" s="13"/>
      <c r="AD5" s="13"/>
      <c r="AE5" s="13"/>
      <c r="AF5" s="3"/>
      <c r="AG5" s="3"/>
      <c r="AH5" s="3"/>
      <c r="AI5" s="3"/>
      <c r="AJ5" s="3"/>
      <c r="AK5" s="3"/>
      <c r="AL5" s="3"/>
      <c r="AM5" s="3"/>
      <c r="AN5" s="3"/>
      <c r="AO5" s="14" t="s">
        <v>114</v>
      </c>
    </row>
    <row r="6" spans="1:41" ht="14.25" customHeight="1" x14ac:dyDescent="0.2">
      <c r="A6" s="18">
        <v>3</v>
      </c>
      <c r="B6" s="49" t="s">
        <v>50</v>
      </c>
      <c r="C6" s="20" t="s">
        <v>93</v>
      </c>
      <c r="D6" s="11" t="s">
        <v>60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6">
        <v>2</v>
      </c>
      <c r="X6" s="16">
        <v>4</v>
      </c>
      <c r="Y6" s="16">
        <v>2</v>
      </c>
      <c r="Z6" s="16">
        <v>2</v>
      </c>
      <c r="AA6" s="16">
        <v>1</v>
      </c>
      <c r="AB6" s="16">
        <v>1</v>
      </c>
      <c r="AC6" s="16">
        <v>1</v>
      </c>
      <c r="AD6" s="16">
        <v>1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4" t="s">
        <v>114</v>
      </c>
    </row>
    <row r="7" spans="1:41" ht="14.25" customHeight="1" x14ac:dyDescent="0.2">
      <c r="A7" s="18">
        <v>4</v>
      </c>
      <c r="B7" s="49" t="s">
        <v>51</v>
      </c>
      <c r="C7" s="15" t="s">
        <v>62</v>
      </c>
      <c r="D7" s="15" t="s">
        <v>61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5">
        <v>3</v>
      </c>
      <c r="AA7" s="25">
        <v>6</v>
      </c>
      <c r="AB7" s="25">
        <v>3</v>
      </c>
      <c r="AC7" s="25">
        <v>3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4" t="s">
        <v>115</v>
      </c>
    </row>
    <row r="8" spans="1:41" ht="14.25" customHeight="1" x14ac:dyDescent="0.2">
      <c r="A8" s="18">
        <v>5</v>
      </c>
      <c r="B8" s="49" t="s">
        <v>51</v>
      </c>
      <c r="C8" s="15" t="s">
        <v>63</v>
      </c>
      <c r="D8" s="15" t="s">
        <v>64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38">
        <v>1</v>
      </c>
      <c r="AC8" s="38">
        <v>4</v>
      </c>
      <c r="AD8" s="38">
        <v>8</v>
      </c>
      <c r="AE8" s="38">
        <v>4</v>
      </c>
      <c r="AF8" s="38">
        <v>1</v>
      </c>
      <c r="AG8" s="13"/>
      <c r="AH8" s="13"/>
      <c r="AI8" s="13"/>
      <c r="AJ8" s="13"/>
      <c r="AK8" s="13"/>
      <c r="AL8" s="13"/>
      <c r="AM8" s="13"/>
      <c r="AN8" s="13"/>
      <c r="AO8" s="14" t="s">
        <v>114</v>
      </c>
    </row>
    <row r="9" spans="1:41" ht="14.25" customHeight="1" x14ac:dyDescent="0.2">
      <c r="A9" s="32">
        <v>6</v>
      </c>
      <c r="B9" s="49" t="s">
        <v>50</v>
      </c>
      <c r="C9" s="20" t="s">
        <v>94</v>
      </c>
      <c r="D9" s="15" t="s">
        <v>65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37"/>
      <c r="AA9" s="37"/>
      <c r="AB9" s="39">
        <v>1</v>
      </c>
      <c r="AC9" s="29">
        <v>4</v>
      </c>
      <c r="AD9" s="29">
        <v>4</v>
      </c>
      <c r="AE9" s="29">
        <v>4</v>
      </c>
      <c r="AF9" s="29">
        <v>1</v>
      </c>
      <c r="AG9" s="29">
        <v>1</v>
      </c>
      <c r="AH9" s="29">
        <v>1</v>
      </c>
      <c r="AI9" s="29">
        <v>1</v>
      </c>
      <c r="AJ9" s="29">
        <v>1</v>
      </c>
      <c r="AK9" s="29">
        <v>1</v>
      </c>
      <c r="AL9" s="29">
        <v>1</v>
      </c>
      <c r="AM9" s="13"/>
      <c r="AN9" s="13"/>
      <c r="AO9" s="14" t="s">
        <v>116</v>
      </c>
    </row>
    <row r="10" spans="1:41" ht="14.25" customHeight="1" x14ac:dyDescent="0.2">
      <c r="A10" s="18">
        <v>7</v>
      </c>
      <c r="B10" s="49" t="s">
        <v>51</v>
      </c>
      <c r="C10" s="20" t="s">
        <v>121</v>
      </c>
      <c r="D10" s="11" t="s">
        <v>66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25">
        <v>2</v>
      </c>
      <c r="X10" s="25">
        <v>2</v>
      </c>
      <c r="Y10" s="25">
        <v>2</v>
      </c>
      <c r="Z10" s="25">
        <v>3</v>
      </c>
      <c r="AA10" s="25">
        <v>3</v>
      </c>
      <c r="AB10" s="25">
        <v>3</v>
      </c>
      <c r="AC10" s="25">
        <v>4</v>
      </c>
      <c r="AD10" s="25">
        <v>4</v>
      </c>
      <c r="AE10" s="25">
        <v>4</v>
      </c>
      <c r="AF10" s="25">
        <v>4</v>
      </c>
      <c r="AG10" s="13"/>
      <c r="AH10" s="13"/>
      <c r="AI10" s="13"/>
      <c r="AJ10" s="13"/>
      <c r="AK10" s="13"/>
      <c r="AL10" s="13"/>
      <c r="AM10" s="13"/>
      <c r="AN10" s="13"/>
      <c r="AO10" s="14" t="s">
        <v>114</v>
      </c>
    </row>
    <row r="11" spans="1:41" ht="14.25" customHeight="1" x14ac:dyDescent="0.2">
      <c r="A11" s="18">
        <v>8</v>
      </c>
      <c r="B11" s="49" t="s">
        <v>50</v>
      </c>
      <c r="C11" s="50" t="s">
        <v>95</v>
      </c>
      <c r="D11" s="15" t="s">
        <v>67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40">
        <v>1</v>
      </c>
      <c r="X11" s="40">
        <v>2</v>
      </c>
      <c r="Y11" s="40">
        <v>2</v>
      </c>
      <c r="Z11" s="40">
        <v>2</v>
      </c>
      <c r="AA11" s="40">
        <v>1</v>
      </c>
      <c r="AB11" s="40">
        <v>1</v>
      </c>
      <c r="AC11" s="40">
        <v>1</v>
      </c>
      <c r="AD11" s="40">
        <v>1</v>
      </c>
      <c r="AE11" s="40">
        <v>3</v>
      </c>
      <c r="AF11" s="40">
        <v>1</v>
      </c>
      <c r="AG11" s="40">
        <v>1</v>
      </c>
      <c r="AH11" s="40">
        <v>1</v>
      </c>
      <c r="AI11" s="13"/>
      <c r="AJ11" s="13"/>
      <c r="AK11" s="13"/>
      <c r="AL11" s="13"/>
      <c r="AM11" s="13"/>
      <c r="AN11" s="13"/>
      <c r="AO11" s="14" t="s">
        <v>114</v>
      </c>
    </row>
    <row r="12" spans="1:41" ht="14.25" customHeight="1" x14ac:dyDescent="0.2">
      <c r="A12" s="18">
        <v>9</v>
      </c>
      <c r="B12" s="49" t="s">
        <v>51</v>
      </c>
      <c r="C12" s="15" t="s">
        <v>96</v>
      </c>
      <c r="D12" s="15" t="s">
        <v>68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9">
        <v>1</v>
      </c>
      <c r="AA12" s="19">
        <v>2</v>
      </c>
      <c r="AB12" s="19">
        <v>1</v>
      </c>
      <c r="AC12" s="19">
        <v>2</v>
      </c>
      <c r="AD12" s="19">
        <v>3</v>
      </c>
      <c r="AE12" s="19">
        <v>5</v>
      </c>
      <c r="AF12" s="19">
        <v>4</v>
      </c>
      <c r="AG12" s="19">
        <v>5</v>
      </c>
      <c r="AH12" s="19">
        <v>3</v>
      </c>
      <c r="AI12" s="19">
        <v>2</v>
      </c>
      <c r="AJ12" s="19">
        <v>1</v>
      </c>
      <c r="AK12" s="13"/>
      <c r="AL12" s="13"/>
      <c r="AM12" s="13"/>
      <c r="AN12" s="13"/>
      <c r="AO12" s="14" t="s">
        <v>114</v>
      </c>
    </row>
    <row r="13" spans="1:41" ht="14.25" customHeight="1" x14ac:dyDescent="0.2">
      <c r="A13" s="18">
        <v>10</v>
      </c>
      <c r="B13" s="49" t="s">
        <v>51</v>
      </c>
      <c r="C13" s="15" t="s">
        <v>97</v>
      </c>
      <c r="D13" s="15" t="s">
        <v>69</v>
      </c>
      <c r="E13" s="40">
        <v>1</v>
      </c>
      <c r="F13" s="40">
        <v>2</v>
      </c>
      <c r="G13" s="40">
        <v>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0">
        <v>3</v>
      </c>
      <c r="AG13" s="40">
        <v>5</v>
      </c>
      <c r="AH13" s="40">
        <v>7</v>
      </c>
      <c r="AI13" s="40">
        <v>9</v>
      </c>
      <c r="AJ13" s="40">
        <v>10</v>
      </c>
      <c r="AK13" s="40">
        <v>9</v>
      </c>
      <c r="AL13" s="40">
        <v>7</v>
      </c>
      <c r="AM13" s="40">
        <v>5</v>
      </c>
      <c r="AN13" s="40">
        <v>3</v>
      </c>
      <c r="AO13" s="14" t="s">
        <v>114</v>
      </c>
    </row>
    <row r="14" spans="1:41" ht="14.25" customHeight="1" x14ac:dyDescent="0.2">
      <c r="A14" s="32">
        <v>11</v>
      </c>
      <c r="B14" s="49" t="s">
        <v>51</v>
      </c>
      <c r="C14" s="15" t="s">
        <v>99</v>
      </c>
      <c r="D14" s="15" t="s">
        <v>70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5">
        <v>1</v>
      </c>
      <c r="AG14" s="25">
        <v>2</v>
      </c>
      <c r="AH14" s="25">
        <v>3</v>
      </c>
      <c r="AI14" s="25">
        <v>3</v>
      </c>
      <c r="AJ14" s="25">
        <v>2</v>
      </c>
      <c r="AK14" s="25">
        <v>1</v>
      </c>
      <c r="AL14" s="13"/>
      <c r="AM14" s="13"/>
      <c r="AN14" s="13"/>
      <c r="AO14" s="14" t="s">
        <v>114</v>
      </c>
    </row>
    <row r="15" spans="1:41" ht="14.25" customHeight="1" x14ac:dyDescent="0.2">
      <c r="A15" s="18">
        <v>12</v>
      </c>
      <c r="B15" s="49" t="s">
        <v>51</v>
      </c>
      <c r="C15" s="15" t="s">
        <v>98</v>
      </c>
      <c r="D15" s="15" t="s">
        <v>71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23">
        <v>5</v>
      </c>
      <c r="AE15" s="23">
        <v>7</v>
      </c>
      <c r="AF15" s="23">
        <v>5</v>
      </c>
      <c r="AG15" s="23">
        <v>3</v>
      </c>
      <c r="AH15" s="23">
        <v>1</v>
      </c>
      <c r="AI15" s="23">
        <v>1</v>
      </c>
      <c r="AJ15" s="23">
        <v>1</v>
      </c>
      <c r="AK15" s="13"/>
      <c r="AL15" s="13"/>
      <c r="AM15" s="13"/>
      <c r="AN15" s="13"/>
      <c r="AO15" s="14" t="s">
        <v>114</v>
      </c>
    </row>
    <row r="16" spans="1:41" ht="14.25" customHeight="1" x14ac:dyDescent="0.2">
      <c r="A16" s="18">
        <v>13</v>
      </c>
      <c r="B16" s="49" t="s">
        <v>50</v>
      </c>
      <c r="C16" s="15" t="s">
        <v>55</v>
      </c>
      <c r="D16" s="15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41">
        <v>2</v>
      </c>
      <c r="AA16" s="41">
        <v>3</v>
      </c>
      <c r="AB16" s="41">
        <v>1</v>
      </c>
      <c r="AC16" s="41">
        <v>2</v>
      </c>
      <c r="AD16" s="41">
        <v>4</v>
      </c>
      <c r="AE16" s="41">
        <v>6</v>
      </c>
      <c r="AF16" s="41">
        <v>4</v>
      </c>
      <c r="AG16" s="13"/>
      <c r="AH16" s="13"/>
      <c r="AI16" s="13"/>
      <c r="AJ16" s="13"/>
      <c r="AK16" s="13"/>
      <c r="AL16" s="13"/>
      <c r="AM16" s="13"/>
      <c r="AN16" s="13"/>
      <c r="AO16" s="14" t="s">
        <v>114</v>
      </c>
    </row>
    <row r="17" spans="1:41" ht="14.25" customHeight="1" x14ac:dyDescent="0.2">
      <c r="A17" s="18">
        <v>14</v>
      </c>
      <c r="B17" s="49" t="s">
        <v>51</v>
      </c>
      <c r="C17" s="15" t="s">
        <v>100</v>
      </c>
      <c r="D17" s="11" t="s">
        <v>72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43">
        <v>2</v>
      </c>
      <c r="AE17" s="43">
        <v>3</v>
      </c>
      <c r="AF17" s="43">
        <v>3</v>
      </c>
      <c r="AG17" s="43">
        <v>3</v>
      </c>
      <c r="AH17" s="43">
        <v>2</v>
      </c>
      <c r="AI17" s="43">
        <v>2</v>
      </c>
      <c r="AJ17" s="13"/>
      <c r="AK17" s="13"/>
      <c r="AL17" s="13"/>
      <c r="AM17" s="13"/>
      <c r="AN17" s="13"/>
      <c r="AO17" s="14" t="s">
        <v>114</v>
      </c>
    </row>
    <row r="18" spans="1:41" ht="14.25" customHeight="1" x14ac:dyDescent="0.2">
      <c r="A18" s="18">
        <v>15</v>
      </c>
      <c r="B18" s="49" t="s">
        <v>51</v>
      </c>
      <c r="C18" s="15" t="s">
        <v>102</v>
      </c>
      <c r="D18" s="15" t="s">
        <v>73</v>
      </c>
      <c r="E18" s="24">
        <v>1</v>
      </c>
      <c r="F18" s="24">
        <v>3</v>
      </c>
      <c r="G18" s="24">
        <v>7</v>
      </c>
      <c r="H18" s="24">
        <v>9</v>
      </c>
      <c r="I18" s="24">
        <v>7</v>
      </c>
      <c r="J18" s="24">
        <v>3</v>
      </c>
      <c r="K18" s="24">
        <v>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 t="s">
        <v>116</v>
      </c>
    </row>
    <row r="19" spans="1:41" ht="14.25" customHeight="1" x14ac:dyDescent="0.2">
      <c r="A19" s="32">
        <v>16</v>
      </c>
      <c r="B19" s="49" t="s">
        <v>50</v>
      </c>
      <c r="C19" s="15" t="s">
        <v>117</v>
      </c>
      <c r="D19" s="15" t="s">
        <v>74</v>
      </c>
      <c r="E19" s="13"/>
      <c r="F19" s="13"/>
      <c r="G19" s="13"/>
      <c r="H19" s="27">
        <v>1</v>
      </c>
      <c r="I19" s="27">
        <v>2</v>
      </c>
      <c r="J19" s="27">
        <v>4</v>
      </c>
      <c r="K19" s="27">
        <v>8</v>
      </c>
      <c r="L19" s="27">
        <v>4</v>
      </c>
      <c r="M19" s="27">
        <v>2</v>
      </c>
      <c r="N19" s="27">
        <v>1</v>
      </c>
      <c r="O19" s="27">
        <v>1</v>
      </c>
      <c r="P19" s="27">
        <v>1</v>
      </c>
      <c r="Q19" s="13"/>
      <c r="R19" s="13"/>
      <c r="S19" s="13"/>
      <c r="T19" s="13"/>
      <c r="U19" s="13"/>
      <c r="V19" s="13"/>
      <c r="W19" s="13"/>
      <c r="X19" s="3"/>
      <c r="Y19" s="3"/>
      <c r="Z19" s="3"/>
      <c r="AA19" s="3"/>
      <c r="AB19" s="3"/>
      <c r="AC19" s="3"/>
      <c r="AD19" s="3"/>
      <c r="AE19" s="3"/>
      <c r="AF19" s="3"/>
      <c r="AG19" s="20"/>
      <c r="AH19" s="3"/>
      <c r="AI19" s="3"/>
      <c r="AJ19" s="3"/>
      <c r="AK19" s="3"/>
      <c r="AL19" s="3"/>
      <c r="AM19" s="3"/>
      <c r="AN19" s="3"/>
      <c r="AO19" s="14" t="s">
        <v>115</v>
      </c>
    </row>
    <row r="20" spans="1:41" ht="14.25" customHeight="1" x14ac:dyDescent="0.2">
      <c r="A20" s="18">
        <v>17</v>
      </c>
      <c r="B20" s="49" t="s">
        <v>51</v>
      </c>
      <c r="C20" s="15" t="s">
        <v>101</v>
      </c>
      <c r="D20" s="51" t="s">
        <v>75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6">
        <v>1</v>
      </c>
      <c r="AJ20" s="26">
        <v>1</v>
      </c>
      <c r="AK20" s="26">
        <v>4</v>
      </c>
      <c r="AL20" s="26">
        <v>3</v>
      </c>
      <c r="AM20" s="26">
        <v>2</v>
      </c>
      <c r="AN20" s="3"/>
      <c r="AO20" s="14" t="s">
        <v>114</v>
      </c>
    </row>
    <row r="21" spans="1:41" ht="14.25" customHeight="1" x14ac:dyDescent="0.2">
      <c r="A21" s="18">
        <v>18</v>
      </c>
      <c r="B21" s="49" t="s">
        <v>51</v>
      </c>
      <c r="C21" s="15" t="s">
        <v>103</v>
      </c>
      <c r="D21" s="42" t="s">
        <v>76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29">
        <v>1</v>
      </c>
      <c r="AD21" s="29">
        <v>2</v>
      </c>
      <c r="AE21" s="29">
        <v>2</v>
      </c>
      <c r="AF21" s="29">
        <v>1</v>
      </c>
      <c r="AG21" s="13"/>
      <c r="AH21" s="13"/>
      <c r="AI21" s="13"/>
      <c r="AJ21" s="3"/>
      <c r="AK21" s="3"/>
      <c r="AL21" s="3"/>
      <c r="AM21" s="3"/>
      <c r="AN21" s="3"/>
      <c r="AO21" s="14" t="s">
        <v>116</v>
      </c>
    </row>
    <row r="22" spans="1:41" ht="14.25" customHeight="1" x14ac:dyDescent="0.2">
      <c r="A22" s="18">
        <v>19</v>
      </c>
      <c r="B22" s="49" t="s">
        <v>51</v>
      </c>
      <c r="C22" s="15" t="s">
        <v>118</v>
      </c>
      <c r="D22" s="42" t="s">
        <v>119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6">
        <v>1</v>
      </c>
      <c r="AG22" s="26">
        <v>2</v>
      </c>
      <c r="AH22" s="26">
        <v>2</v>
      </c>
      <c r="AI22" s="26">
        <v>2</v>
      </c>
      <c r="AJ22" s="26">
        <v>1</v>
      </c>
      <c r="AK22" s="3"/>
      <c r="AL22" s="3"/>
      <c r="AM22" s="3"/>
      <c r="AN22" s="3"/>
      <c r="AO22" s="14" t="s">
        <v>114</v>
      </c>
    </row>
    <row r="23" spans="1:41" ht="14.25" customHeight="1" x14ac:dyDescent="0.2">
      <c r="A23" s="18">
        <v>20</v>
      </c>
      <c r="B23" s="49" t="s">
        <v>51</v>
      </c>
      <c r="C23" s="15" t="s">
        <v>105</v>
      </c>
      <c r="D23" s="15" t="s">
        <v>77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27">
        <v>1</v>
      </c>
      <c r="Z23" s="27">
        <v>2</v>
      </c>
      <c r="AA23" s="27">
        <v>3</v>
      </c>
      <c r="AB23" s="27">
        <v>2</v>
      </c>
      <c r="AC23" s="13"/>
      <c r="AD23" s="13"/>
      <c r="AE23" s="13"/>
      <c r="AF23" s="13"/>
      <c r="AG23" s="3"/>
      <c r="AH23" s="3"/>
      <c r="AI23" s="3"/>
      <c r="AJ23" s="3"/>
      <c r="AK23" s="3"/>
      <c r="AL23" s="3"/>
      <c r="AM23" s="3"/>
      <c r="AN23" s="3"/>
      <c r="AO23" s="14" t="s">
        <v>114</v>
      </c>
    </row>
    <row r="24" spans="1:41" ht="14.25" customHeight="1" x14ac:dyDescent="0.2">
      <c r="A24" s="32">
        <v>21</v>
      </c>
      <c r="B24" s="49" t="s">
        <v>50</v>
      </c>
      <c r="C24" s="15" t="s">
        <v>104</v>
      </c>
      <c r="D24" s="15" t="s">
        <v>78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31">
        <v>1</v>
      </c>
      <c r="AB24" s="31">
        <v>4</v>
      </c>
      <c r="AC24" s="31">
        <v>4</v>
      </c>
      <c r="AD24" s="31">
        <v>1</v>
      </c>
      <c r="AE24" s="13"/>
      <c r="AF24" s="13"/>
      <c r="AG24" s="3"/>
      <c r="AH24" s="3"/>
      <c r="AI24" s="3"/>
      <c r="AJ24" s="3"/>
      <c r="AK24" s="3"/>
      <c r="AL24" s="3"/>
      <c r="AM24" s="3"/>
      <c r="AN24" s="3"/>
      <c r="AO24" s="14" t="s">
        <v>114</v>
      </c>
    </row>
    <row r="25" spans="1:41" ht="14.25" customHeight="1" x14ac:dyDescent="0.2">
      <c r="A25" s="18">
        <v>22</v>
      </c>
      <c r="B25" s="49" t="s">
        <v>51</v>
      </c>
      <c r="C25" s="20" t="s">
        <v>122</v>
      </c>
      <c r="D25" s="15" t="s">
        <v>79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3"/>
      <c r="AH25" s="3"/>
      <c r="AI25" s="44">
        <v>2</v>
      </c>
      <c r="AJ25" s="44">
        <v>4</v>
      </c>
      <c r="AK25" s="44">
        <v>2</v>
      </c>
      <c r="AL25" s="3"/>
      <c r="AM25" s="3"/>
      <c r="AN25" s="3"/>
      <c r="AO25" s="14" t="s">
        <v>116</v>
      </c>
    </row>
    <row r="26" spans="1:41" ht="14.25" customHeight="1" x14ac:dyDescent="0.2">
      <c r="A26" s="18">
        <v>23</v>
      </c>
      <c r="B26" s="49" t="s">
        <v>51</v>
      </c>
      <c r="C26" s="15" t="s">
        <v>106</v>
      </c>
      <c r="D26" s="15" t="s">
        <v>80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6">
        <v>1</v>
      </c>
      <c r="AG26" s="16">
        <v>1</v>
      </c>
      <c r="AH26" s="16">
        <v>1</v>
      </c>
      <c r="AI26" s="16">
        <v>1</v>
      </c>
      <c r="AJ26" s="3"/>
      <c r="AK26" s="3"/>
      <c r="AL26" s="3"/>
      <c r="AM26" s="3"/>
      <c r="AN26" s="3"/>
      <c r="AO26" s="14" t="s">
        <v>114</v>
      </c>
    </row>
    <row r="27" spans="1:41" ht="14.25" customHeight="1" x14ac:dyDescent="0.2">
      <c r="A27" s="18">
        <v>24</v>
      </c>
      <c r="B27" s="49" t="s">
        <v>51</v>
      </c>
      <c r="C27" s="15" t="s">
        <v>120</v>
      </c>
      <c r="D27" s="15" t="s">
        <v>81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2">
        <v>1</v>
      </c>
      <c r="AG27" s="22">
        <v>1</v>
      </c>
      <c r="AH27" s="22">
        <v>1</v>
      </c>
      <c r="AI27" s="22">
        <v>1</v>
      </c>
      <c r="AJ27" s="3"/>
      <c r="AK27" s="3"/>
      <c r="AL27" s="3"/>
      <c r="AM27" s="3"/>
      <c r="AN27" s="3"/>
      <c r="AO27" s="14" t="s">
        <v>116</v>
      </c>
    </row>
    <row r="28" spans="1:41" ht="14.25" customHeight="1" x14ac:dyDescent="0.2">
      <c r="A28" s="18">
        <v>25</v>
      </c>
      <c r="B28" s="49" t="s">
        <v>51</v>
      </c>
      <c r="C28" s="15" t="s">
        <v>56</v>
      </c>
      <c r="D28" s="11" t="s">
        <v>54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25">
        <v>1</v>
      </c>
      <c r="AD28" s="25">
        <v>2</v>
      </c>
      <c r="AE28" s="25">
        <v>4</v>
      </c>
      <c r="AF28" s="25">
        <v>4</v>
      </c>
      <c r="AG28" s="25">
        <v>2</v>
      </c>
      <c r="AH28" s="25">
        <v>1</v>
      </c>
      <c r="AI28" s="3"/>
      <c r="AJ28" s="3"/>
      <c r="AK28" s="3"/>
      <c r="AL28" s="3"/>
      <c r="AM28" s="3"/>
      <c r="AN28" s="3"/>
      <c r="AO28" s="14" t="s">
        <v>114</v>
      </c>
    </row>
    <row r="29" spans="1:41" ht="14.25" customHeight="1" x14ac:dyDescent="0.2">
      <c r="A29" s="32">
        <v>26</v>
      </c>
      <c r="B29" s="49" t="s">
        <v>50</v>
      </c>
      <c r="C29" s="15" t="s">
        <v>107</v>
      </c>
      <c r="D29" s="15" t="s">
        <v>82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3"/>
      <c r="AH29" s="3"/>
      <c r="AI29" s="21">
        <v>2</v>
      </c>
      <c r="AJ29" s="21">
        <v>3</v>
      </c>
      <c r="AK29" s="21">
        <v>3</v>
      </c>
      <c r="AL29" s="21">
        <v>3</v>
      </c>
      <c r="AM29" s="21">
        <v>3</v>
      </c>
      <c r="AN29" s="21">
        <v>1</v>
      </c>
      <c r="AO29" s="14" t="s">
        <v>114</v>
      </c>
    </row>
    <row r="30" spans="1:41" ht="14.25" customHeight="1" x14ac:dyDescent="0.2">
      <c r="A30" s="18">
        <v>27</v>
      </c>
      <c r="B30" s="49" t="s">
        <v>50</v>
      </c>
      <c r="C30" s="15" t="s">
        <v>109</v>
      </c>
      <c r="D30" s="15" t="s">
        <v>83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3"/>
      <c r="AH30" s="3"/>
      <c r="AI30" s="3"/>
      <c r="AJ30" s="3"/>
      <c r="AK30" s="3"/>
      <c r="AL30" s="28">
        <v>2</v>
      </c>
      <c r="AM30" s="28">
        <v>3</v>
      </c>
      <c r="AN30" s="28">
        <v>1</v>
      </c>
      <c r="AO30" s="14" t="s">
        <v>114</v>
      </c>
    </row>
    <row r="31" spans="1:41" ht="14.25" customHeight="1" x14ac:dyDescent="0.2">
      <c r="A31" s="18">
        <v>28</v>
      </c>
      <c r="B31" s="49" t="s">
        <v>50</v>
      </c>
      <c r="C31" s="15" t="s">
        <v>108</v>
      </c>
      <c r="D31" s="15" t="s">
        <v>84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3"/>
      <c r="AH31" s="3"/>
      <c r="AI31" s="45">
        <v>1</v>
      </c>
      <c r="AJ31" s="45">
        <v>2</v>
      </c>
      <c r="AK31" s="45">
        <v>1</v>
      </c>
      <c r="AL31" s="3"/>
      <c r="AM31" s="3"/>
      <c r="AN31" s="3"/>
      <c r="AO31" s="14" t="s">
        <v>114</v>
      </c>
    </row>
    <row r="32" spans="1:41" ht="14.25" customHeight="1" x14ac:dyDescent="0.2">
      <c r="A32" s="18">
        <v>29</v>
      </c>
      <c r="B32" s="49" t="s">
        <v>50</v>
      </c>
      <c r="C32" s="15" t="s">
        <v>110</v>
      </c>
      <c r="D32" s="15" t="s">
        <v>85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3"/>
      <c r="AH32" s="3"/>
      <c r="AI32" s="41">
        <v>1</v>
      </c>
      <c r="AJ32" s="41">
        <v>2</v>
      </c>
      <c r="AK32" s="41">
        <v>1</v>
      </c>
      <c r="AL32" s="3"/>
      <c r="AM32" s="3"/>
      <c r="AN32" s="3"/>
      <c r="AO32" s="14" t="s">
        <v>114</v>
      </c>
    </row>
    <row r="33" spans="1:41" ht="14.25" customHeight="1" x14ac:dyDescent="0.2">
      <c r="A33" s="18">
        <v>30</v>
      </c>
      <c r="B33" s="49" t="s">
        <v>51</v>
      </c>
      <c r="C33" s="20" t="s">
        <v>123</v>
      </c>
      <c r="D33" s="15" t="s">
        <v>86</v>
      </c>
      <c r="E33" s="40">
        <v>1</v>
      </c>
      <c r="F33" s="40">
        <v>1</v>
      </c>
      <c r="G33" s="40">
        <v>1</v>
      </c>
      <c r="H33" s="40">
        <v>1</v>
      </c>
      <c r="I33" s="40">
        <v>1</v>
      </c>
      <c r="J33" s="40">
        <v>1</v>
      </c>
      <c r="K33" s="40">
        <v>1</v>
      </c>
      <c r="L33" s="40">
        <v>1</v>
      </c>
      <c r="M33" s="40">
        <v>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0">
        <v>1</v>
      </c>
      <c r="AD33" s="40">
        <v>1</v>
      </c>
      <c r="AE33" s="40">
        <v>1</v>
      </c>
      <c r="AF33" s="40">
        <v>1</v>
      </c>
      <c r="AG33" s="40">
        <v>1</v>
      </c>
      <c r="AH33" s="40">
        <v>1</v>
      </c>
      <c r="AI33" s="40">
        <v>1</v>
      </c>
      <c r="AJ33" s="40">
        <v>1</v>
      </c>
      <c r="AK33" s="40">
        <v>1</v>
      </c>
      <c r="AL33" s="40">
        <v>1</v>
      </c>
      <c r="AM33" s="40">
        <v>1</v>
      </c>
      <c r="AN33" s="40">
        <v>1</v>
      </c>
      <c r="AO33" s="14" t="s">
        <v>114</v>
      </c>
    </row>
    <row r="34" spans="1:41" ht="14.25" customHeight="1" x14ac:dyDescent="0.2">
      <c r="A34" s="32">
        <v>31</v>
      </c>
      <c r="B34" s="49" t="s">
        <v>51</v>
      </c>
      <c r="C34" s="15" t="s">
        <v>111</v>
      </c>
      <c r="D34" s="15" t="s">
        <v>87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3"/>
      <c r="AH34" s="3"/>
      <c r="AI34" s="3"/>
      <c r="AJ34" s="3"/>
      <c r="AK34" s="22">
        <v>1</v>
      </c>
      <c r="AL34" s="22">
        <v>2</v>
      </c>
      <c r="AM34" s="22">
        <v>2</v>
      </c>
      <c r="AN34" s="22">
        <v>1</v>
      </c>
      <c r="AO34" s="14" t="s">
        <v>116</v>
      </c>
    </row>
    <row r="35" spans="1:41" ht="14.25" customHeight="1" x14ac:dyDescent="0.2">
      <c r="A35" s="18">
        <v>32</v>
      </c>
      <c r="B35" s="49" t="s">
        <v>51</v>
      </c>
      <c r="C35" s="20" t="s">
        <v>124</v>
      </c>
      <c r="D35" s="15" t="s">
        <v>88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3"/>
      <c r="AH35" s="3"/>
      <c r="AI35" s="3"/>
      <c r="AJ35" s="28">
        <v>1</v>
      </c>
      <c r="AK35" s="28">
        <v>1</v>
      </c>
      <c r="AL35" s="3"/>
      <c r="AM35" s="3"/>
      <c r="AN35" s="3"/>
      <c r="AO35" s="14" t="s">
        <v>114</v>
      </c>
    </row>
    <row r="36" spans="1:41" ht="14.25" customHeight="1" x14ac:dyDescent="0.2">
      <c r="A36" s="18">
        <v>33</v>
      </c>
      <c r="B36" s="49" t="s">
        <v>51</v>
      </c>
      <c r="C36" s="15" t="s">
        <v>112</v>
      </c>
      <c r="D36" s="20" t="s">
        <v>89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46">
        <v>2</v>
      </c>
      <c r="AA36" s="46">
        <v>3</v>
      </c>
      <c r="AB36" s="46">
        <v>3</v>
      </c>
      <c r="AC36" s="46">
        <v>3</v>
      </c>
      <c r="AD36" s="46">
        <v>3</v>
      </c>
      <c r="AE36" s="46">
        <v>1</v>
      </c>
      <c r="AF36" s="46">
        <v>1</v>
      </c>
      <c r="AG36" s="3"/>
      <c r="AH36" s="3"/>
      <c r="AI36" s="3"/>
      <c r="AJ36" s="3"/>
      <c r="AK36" s="3"/>
      <c r="AL36" s="3"/>
      <c r="AM36" s="3"/>
      <c r="AN36" s="3"/>
      <c r="AO36" s="14" t="s">
        <v>116</v>
      </c>
    </row>
    <row r="37" spans="1:41" ht="14.25" customHeight="1" x14ac:dyDescent="0.2">
      <c r="A37" s="18">
        <v>34</v>
      </c>
      <c r="B37" s="49" t="s">
        <v>50</v>
      </c>
      <c r="C37" s="57" t="s">
        <v>137</v>
      </c>
      <c r="D37" s="11" t="s">
        <v>90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47">
        <v>1</v>
      </c>
      <c r="AF37" s="47">
        <v>2</v>
      </c>
      <c r="AG37" s="47">
        <v>2</v>
      </c>
      <c r="AH37" s="47">
        <v>1</v>
      </c>
      <c r="AI37" s="3"/>
      <c r="AJ37" s="3"/>
      <c r="AK37" s="3"/>
      <c r="AL37" s="3"/>
      <c r="AM37" s="3"/>
      <c r="AN37" s="3"/>
      <c r="AO37" s="14" t="s">
        <v>114</v>
      </c>
    </row>
    <row r="38" spans="1:41" ht="14.25" customHeight="1" thickBot="1" x14ac:dyDescent="0.25">
      <c r="A38" s="18">
        <v>35</v>
      </c>
      <c r="B38" s="52" t="s">
        <v>50</v>
      </c>
      <c r="C38" s="30" t="s">
        <v>113</v>
      </c>
      <c r="D38" s="53" t="s">
        <v>91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>
        <v>1</v>
      </c>
      <c r="AD38" s="55">
        <v>2</v>
      </c>
      <c r="AE38" s="55">
        <v>3</v>
      </c>
      <c r="AF38" s="55">
        <v>3</v>
      </c>
      <c r="AG38" s="55">
        <v>3</v>
      </c>
      <c r="AH38" s="55">
        <v>2</v>
      </c>
      <c r="AI38" s="55">
        <v>1</v>
      </c>
      <c r="AJ38" s="56"/>
      <c r="AK38" s="56"/>
      <c r="AL38" s="56"/>
      <c r="AM38" s="56"/>
      <c r="AN38" s="56"/>
      <c r="AO38" s="14" t="s">
        <v>116</v>
      </c>
    </row>
    <row r="39" spans="1:41" ht="56.25" customHeight="1" thickBot="1" x14ac:dyDescent="0.25">
      <c r="A39" s="58" t="s">
        <v>52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60"/>
    </row>
    <row r="40" spans="1:41" x14ac:dyDescent="0.2">
      <c r="E40">
        <f>SUM(E4:E38)</f>
        <v>4</v>
      </c>
      <c r="F40">
        <f t="shared" ref="F40:AN40" si="0">SUM(F4:F38)</f>
        <v>7</v>
      </c>
      <c r="G40">
        <f t="shared" si="0"/>
        <v>10</v>
      </c>
      <c r="H40">
        <f t="shared" si="0"/>
        <v>12</v>
      </c>
      <c r="I40">
        <f t="shared" si="0"/>
        <v>11</v>
      </c>
      <c r="J40">
        <f t="shared" si="0"/>
        <v>9</v>
      </c>
      <c r="K40">
        <f t="shared" si="0"/>
        <v>11</v>
      </c>
      <c r="L40">
        <f t="shared" si="0"/>
        <v>6</v>
      </c>
      <c r="M40">
        <f t="shared" si="0"/>
        <v>3</v>
      </c>
      <c r="N40">
        <f>SUM(N4:N38)</f>
        <v>1</v>
      </c>
      <c r="O40">
        <f t="shared" si="0"/>
        <v>1</v>
      </c>
      <c r="P40">
        <f t="shared" si="0"/>
        <v>1</v>
      </c>
      <c r="Q40">
        <f t="shared" si="0"/>
        <v>0</v>
      </c>
      <c r="R40">
        <f t="shared" si="0"/>
        <v>0</v>
      </c>
      <c r="S40">
        <f t="shared" si="0"/>
        <v>0</v>
      </c>
      <c r="T40">
        <f t="shared" si="0"/>
        <v>0</v>
      </c>
      <c r="U40">
        <f t="shared" si="0"/>
        <v>0</v>
      </c>
      <c r="V40">
        <f t="shared" si="0"/>
        <v>4</v>
      </c>
      <c r="W40">
        <f>SUM(W4:W38)</f>
        <v>9</v>
      </c>
      <c r="X40">
        <f t="shared" si="0"/>
        <v>12</v>
      </c>
      <c r="Y40">
        <f t="shared" si="0"/>
        <v>12</v>
      </c>
      <c r="Z40">
        <f t="shared" si="0"/>
        <v>22</v>
      </c>
      <c r="AA40">
        <f t="shared" si="0"/>
        <v>28</v>
      </c>
      <c r="AB40">
        <f t="shared" si="0"/>
        <v>28</v>
      </c>
      <c r="AC40">
        <f t="shared" si="0"/>
        <v>38</v>
      </c>
      <c r="AD40">
        <f t="shared" si="0"/>
        <v>46</v>
      </c>
      <c r="AE40">
        <f t="shared" si="0"/>
        <v>49</v>
      </c>
      <c r="AF40">
        <f t="shared" si="0"/>
        <v>42</v>
      </c>
      <c r="AG40">
        <f t="shared" si="0"/>
        <v>32</v>
      </c>
      <c r="AH40">
        <f t="shared" si="0"/>
        <v>27</v>
      </c>
      <c r="AI40">
        <f t="shared" si="0"/>
        <v>31</v>
      </c>
      <c r="AJ40">
        <f t="shared" si="0"/>
        <v>30</v>
      </c>
      <c r="AK40">
        <f t="shared" si="0"/>
        <v>25</v>
      </c>
      <c r="AL40">
        <f t="shared" si="0"/>
        <v>19</v>
      </c>
      <c r="AM40">
        <f t="shared" si="0"/>
        <v>16</v>
      </c>
      <c r="AN40">
        <f t="shared" si="0"/>
        <v>7</v>
      </c>
    </row>
    <row r="53" spans="2:42" x14ac:dyDescent="0.2">
      <c r="AP53" s="8" t="s">
        <v>12</v>
      </c>
    </row>
    <row r="60" spans="2:42" ht="20.25" x14ac:dyDescent="0.2">
      <c r="Q60" s="7" t="s">
        <v>5</v>
      </c>
    </row>
    <row r="61" spans="2:42" ht="14.25" x14ac:dyDescent="0.2">
      <c r="C61" s="10" t="s">
        <v>49</v>
      </c>
      <c r="AI61" s="10" t="s">
        <v>48</v>
      </c>
    </row>
    <row r="62" spans="2:42" x14ac:dyDescent="0.2">
      <c r="B62" s="5" t="s">
        <v>6</v>
      </c>
      <c r="C62" s="5"/>
      <c r="AI62" s="5" t="s">
        <v>20</v>
      </c>
    </row>
    <row r="63" spans="2:42" ht="15" x14ac:dyDescent="0.25">
      <c r="B63" s="6" t="s">
        <v>7</v>
      </c>
      <c r="C63" s="5"/>
      <c r="AI63" s="5" t="s">
        <v>21</v>
      </c>
    </row>
    <row r="64" spans="2:42" x14ac:dyDescent="0.2">
      <c r="B64" s="5">
        <v>40</v>
      </c>
      <c r="C64" s="5" t="s">
        <v>8</v>
      </c>
      <c r="AI64" s="5" t="s">
        <v>22</v>
      </c>
    </row>
    <row r="65" spans="2:35" x14ac:dyDescent="0.2">
      <c r="B65" s="5">
        <v>21</v>
      </c>
      <c r="C65" s="5" t="s">
        <v>9</v>
      </c>
      <c r="AI65" s="5" t="s">
        <v>23</v>
      </c>
    </row>
    <row r="66" spans="2:35" x14ac:dyDescent="0.2">
      <c r="B66" s="5">
        <v>22</v>
      </c>
      <c r="C66" s="5" t="s">
        <v>10</v>
      </c>
      <c r="AI66" s="5" t="s">
        <v>24</v>
      </c>
    </row>
    <row r="67" spans="2:35" ht="15" x14ac:dyDescent="0.25">
      <c r="B67" s="17">
        <f>SUM(B64:B66)</f>
        <v>83</v>
      </c>
      <c r="C67" s="17" t="s">
        <v>11</v>
      </c>
      <c r="AI67" s="5" t="s">
        <v>25</v>
      </c>
    </row>
    <row r="69" spans="2:35" x14ac:dyDescent="0.2">
      <c r="C69" s="5" t="s">
        <v>13</v>
      </c>
      <c r="E69" s="5"/>
      <c r="F69" s="5"/>
      <c r="G69" s="5"/>
      <c r="H69" s="5"/>
      <c r="I69" s="5"/>
      <c r="K69" s="5"/>
      <c r="L69" s="5"/>
      <c r="M69" s="5"/>
      <c r="N69" s="5"/>
      <c r="O69" s="5"/>
      <c r="AI69" s="5" t="s">
        <v>26</v>
      </c>
    </row>
    <row r="70" spans="2:35" x14ac:dyDescent="0.2">
      <c r="C70" s="5" t="s">
        <v>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AI70" s="5" t="s">
        <v>27</v>
      </c>
    </row>
    <row r="71" spans="2:35" x14ac:dyDescent="0.2">
      <c r="C71" s="9" t="s">
        <v>15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28</v>
      </c>
    </row>
    <row r="72" spans="2:35" x14ac:dyDescent="0.2">
      <c r="C72" s="9" t="s">
        <v>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29</v>
      </c>
    </row>
    <row r="73" spans="2:35" x14ac:dyDescent="0.2">
      <c r="C73" s="9" t="s">
        <v>17</v>
      </c>
      <c r="E73" s="5"/>
      <c r="F73" s="5"/>
      <c r="G73" s="5"/>
      <c r="H73" s="5"/>
      <c r="I73" s="5"/>
      <c r="K73" s="5"/>
      <c r="L73" s="5"/>
      <c r="M73" s="5"/>
      <c r="N73" s="5"/>
      <c r="AI73" s="5" t="s">
        <v>30</v>
      </c>
    </row>
    <row r="74" spans="2:35" x14ac:dyDescent="0.2">
      <c r="C74" s="9" t="s">
        <v>19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AI74" s="5" t="s">
        <v>31</v>
      </c>
    </row>
    <row r="75" spans="2:35" x14ac:dyDescent="0.2">
      <c r="C75" s="9" t="s">
        <v>18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AI75" s="5" t="s">
        <v>32</v>
      </c>
    </row>
    <row r="76" spans="2:35" x14ac:dyDescent="0.2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2:35" x14ac:dyDescent="0.2">
      <c r="D77" s="5"/>
      <c r="E77" s="5"/>
      <c r="F77" s="5"/>
      <c r="G77" s="5"/>
      <c r="H77" s="5"/>
      <c r="I77" s="5"/>
      <c r="K77" s="5"/>
      <c r="L77" s="5"/>
      <c r="M77" s="5"/>
      <c r="N77" s="5"/>
      <c r="AI77" s="9" t="s">
        <v>36</v>
      </c>
    </row>
    <row r="78" spans="2:35" x14ac:dyDescent="0.2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AI78" s="5" t="s">
        <v>33</v>
      </c>
    </row>
    <row r="79" spans="2:35" x14ac:dyDescent="0.2">
      <c r="AI79" s="5" t="s">
        <v>34</v>
      </c>
    </row>
    <row r="80" spans="2:35" x14ac:dyDescent="0.2">
      <c r="AI80" s="5" t="s">
        <v>35</v>
      </c>
    </row>
    <row r="82" spans="35:35" x14ac:dyDescent="0.2">
      <c r="AI82" s="5" t="s">
        <v>37</v>
      </c>
    </row>
    <row r="83" spans="35:35" x14ac:dyDescent="0.2">
      <c r="AI83" s="5" t="s">
        <v>38</v>
      </c>
    </row>
    <row r="84" spans="35:35" x14ac:dyDescent="0.2">
      <c r="AI84" s="5" t="s">
        <v>39</v>
      </c>
    </row>
    <row r="85" spans="35:35" x14ac:dyDescent="0.2">
      <c r="AI85" s="5" t="s">
        <v>40</v>
      </c>
    </row>
    <row r="86" spans="35:35" x14ac:dyDescent="0.2">
      <c r="AI86" s="9" t="s">
        <v>47</v>
      </c>
    </row>
    <row r="87" spans="35:35" x14ac:dyDescent="0.2">
      <c r="AI87" s="5" t="s">
        <v>41</v>
      </c>
    </row>
    <row r="88" spans="35:35" x14ac:dyDescent="0.2">
      <c r="AI88" s="5" t="s">
        <v>42</v>
      </c>
    </row>
    <row r="89" spans="35:35" x14ac:dyDescent="0.2">
      <c r="AI89" s="5" t="s">
        <v>43</v>
      </c>
    </row>
    <row r="90" spans="35:35" x14ac:dyDescent="0.2">
      <c r="AI90" s="5" t="s">
        <v>44</v>
      </c>
    </row>
    <row r="91" spans="35:35" x14ac:dyDescent="0.2">
      <c r="AI91" s="5" t="s">
        <v>45</v>
      </c>
    </row>
    <row r="92" spans="35:35" x14ac:dyDescent="0.2">
      <c r="AI92" s="5" t="s">
        <v>46</v>
      </c>
    </row>
    <row r="93" spans="35:35" x14ac:dyDescent="0.2">
      <c r="AI93" s="5"/>
    </row>
  </sheetData>
  <mergeCells count="18"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  <mergeCell ref="A39:AO39"/>
    <mergeCell ref="C2:C3"/>
    <mergeCell ref="B2:B3"/>
    <mergeCell ref="AC2:AE2"/>
    <mergeCell ref="AF2:AH2"/>
    <mergeCell ref="AI2:AK2"/>
    <mergeCell ref="AL2:AN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2026-07-05T14:29:24Z</dcterms:modified>
</cp:coreProperties>
</file>