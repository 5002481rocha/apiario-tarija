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Nuevos\"/>
    </mc:Choice>
  </mc:AlternateContent>
  <xr:revisionPtr revIDLastSave="0" documentId="13_ncr:1_{88C33250-DAF9-46B4-9165-37BE0DEEE9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1" i="2" l="1"/>
  <c r="N31" i="2"/>
  <c r="E31" i="2"/>
  <c r="AE31" i="2"/>
  <c r="AN31" i="2"/>
  <c r="B58" i="2"/>
  <c r="F31" i="2" l="1"/>
  <c r="G31" i="2"/>
  <c r="H31" i="2"/>
  <c r="I31" i="2"/>
  <c r="J31" i="2"/>
  <c r="K31" i="2"/>
  <c r="L31" i="2"/>
  <c r="M31" i="2"/>
  <c r="O31" i="2"/>
  <c r="P31" i="2"/>
  <c r="Q31" i="2"/>
  <c r="R31" i="2"/>
  <c r="S31" i="2"/>
  <c r="T31" i="2"/>
  <c r="U31" i="2"/>
  <c r="V31" i="2"/>
  <c r="X31" i="2"/>
  <c r="Y31" i="2"/>
  <c r="Z31" i="2"/>
  <c r="AA31" i="2"/>
  <c r="AB31" i="2"/>
  <c r="AC31" i="2"/>
  <c r="AD31" i="2"/>
  <c r="AF31" i="2"/>
  <c r="AG31" i="2"/>
  <c r="AH31" i="2"/>
  <c r="AI31" i="2"/>
  <c r="AJ31" i="2"/>
  <c r="AK31" i="2"/>
  <c r="AL31" i="2"/>
  <c r="AM31" i="2"/>
</calcChain>
</file>

<file path=xl/sharedStrings.xml><?xml version="1.0" encoding="utf-8"?>
<sst xmlns="http://schemas.openxmlformats.org/spreadsheetml/2006/main" count="168" uniqueCount="121">
  <si>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</si>
  <si>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</si>
  <si>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</si>
  <si>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</si>
  <si>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</si>
  <si>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</si>
  <si>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</si>
  <si>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</si>
  <si>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</si>
  <si>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</si>
  <si>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</si>
  <si>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</si>
  <si>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</si>
  <si>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</si>
  <si>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</si>
  <si>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</si>
  <si>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</si>
  <si>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</si>
  <si>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</si>
  <si>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</si>
  <si>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</si>
  <si>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</si>
  <si>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</si>
  <si>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</si>
  <si>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</si>
  <si>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</si>
  <si>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</si>
  <si>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</si>
  <si>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</si>
  <si>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</si>
  <si>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</si>
  <si>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</si>
  <si>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</si>
  <si>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</si>
  <si>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</si>
  <si>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</si>
  <si>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</si>
  <si>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</si>
  <si>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</si>
  <si>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</si>
  <si>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</si>
  <si>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</si>
  <si>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</si>
  <si>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</si>
  <si>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</si>
  <si>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</si>
  <si>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</si>
  <si>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</si>
  <si>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</si>
  <si>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</si>
  <si>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Arbusto</t>
  </si>
  <si>
    <t>Arbol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</si>
  <si>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</si>
  <si>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Pacara</t>
  </si>
  <si>
    <t>Enterolobium contortisiliquum</t>
  </si>
  <si>
    <t>Chañar</t>
  </si>
  <si>
    <t>Algarrobo negro</t>
  </si>
  <si>
    <t>Prosopis nigra</t>
  </si>
  <si>
    <t>Prosopis alba</t>
  </si>
  <si>
    <t>Algarrobo blanco</t>
  </si>
  <si>
    <t>Ancoche</t>
  </si>
  <si>
    <t>Mistol</t>
  </si>
  <si>
    <t>Tala</t>
  </si>
  <si>
    <t>Colorado</t>
  </si>
  <si>
    <t>Toborochi</t>
  </si>
  <si>
    <t>Sachapero</t>
  </si>
  <si>
    <t>Geoffroea decorticans</t>
  </si>
  <si>
    <t>Vallesia glabra</t>
  </si>
  <si>
    <t>Sarcomphalus mistol</t>
  </si>
  <si>
    <t>Celtis ehrenbergiana</t>
  </si>
  <si>
    <t>Ceiba camba</t>
  </si>
  <si>
    <t>Acanthosyris falcata</t>
  </si>
  <si>
    <t>N, Po</t>
  </si>
  <si>
    <t>N, Po, Pr</t>
  </si>
  <si>
    <t>N</t>
  </si>
  <si>
    <t>Anadenanthera colubrina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</si>
  <si>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</si>
  <si>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</si>
  <si>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</si>
  <si>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</si>
  <si>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</si>
  <si>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</si>
  <si>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</si>
  <si>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</si>
  <si>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</si>
  <si>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</si>
  <si>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</si>
  <si>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</si>
  <si>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Citricos</t>
  </si>
  <si>
    <t>Carnaval</t>
  </si>
  <si>
    <t>Churqui</t>
  </si>
  <si>
    <t>Coronilla</t>
  </si>
  <si>
    <t>Urundel</t>
  </si>
  <si>
    <t>Tipa</t>
  </si>
  <si>
    <t>Cedro</t>
  </si>
  <si>
    <t>Negrillo</t>
  </si>
  <si>
    <t>Afata</t>
  </si>
  <si>
    <t>Girasolillo</t>
  </si>
  <si>
    <t>Cardo Santos</t>
  </si>
  <si>
    <t>Palo Lanza</t>
  </si>
  <si>
    <t>Palo blanco</t>
  </si>
  <si>
    <t>Guaranguay</t>
  </si>
  <si>
    <t>Citrus</t>
  </si>
  <si>
    <t>Senna spectabilis</t>
  </si>
  <si>
    <t>Vachellia caven</t>
  </si>
  <si>
    <t xml:space="preserve">Scutia buxifolia </t>
  </si>
  <si>
    <t>Myracrodruon urundeuva</t>
  </si>
  <si>
    <t>Tipuana tipu</t>
  </si>
  <si>
    <t>Cedrela odorata</t>
  </si>
  <si>
    <t>Diatenopteryx sorbifolia</t>
  </si>
  <si>
    <t>Sida rhombifolia</t>
  </si>
  <si>
    <t>Verbesina subcordata</t>
  </si>
  <si>
    <t>Argemone subfusiformis</t>
  </si>
  <si>
    <t xml:space="preserve">Bulnesia sarmientoi </t>
  </si>
  <si>
    <t>Calycophyllum multiflorum</t>
  </si>
  <si>
    <t>Tecoma stans</t>
  </si>
  <si>
    <t>CALENDÁRIO PARA REGISTRO DE FLORACIONES
MUNICIPIO: YACUIBA
                             LOCALIDAD: ZONA PIE DE MONTE               COMUNIDAD:                                         AÑO                                 </t>
  </si>
  <si>
    <t>Palta</t>
  </si>
  <si>
    <t>Mango</t>
  </si>
  <si>
    <t>Persea americana Mill</t>
  </si>
  <si>
    <t xml:space="preserve">Mangifera indica 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</si>
</sst>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6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BFC2E"/>
        <bgColor indexed="64"/>
      </patternFill>
    </fill>
  </fills>
  <borders count="21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5F5F5F"/>
      </left>
      <right style="thin">
        <color rgb="FF5F5F5F"/>
      </right>
      <top style="thin">
        <color rgb="FF000000"/>
      </top>
      <bottom style="thin">
        <color rgb="FF5F5F5F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000000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medium">
        <color indexed="64"/>
      </bottom>
      <diagonal/>
    </border>
    <border>
      <left style="thin">
        <color rgb="FF5F5F5F"/>
      </left>
      <right style="thin">
        <color rgb="FF000000"/>
      </right>
      <top style="thin">
        <color rgb="FF5F5F5F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5" fillId="0" borderId="10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11" fillId="0" borderId="0" xfId="0" applyFont="1" applyFill="1"/>
    <xf numFmtId="0" fontId="7" fillId="0" borderId="11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3" fillId="0" borderId="7" xfId="0" applyFont="1" applyFill="1" applyBorder="1" applyAlignment="1">
      <alignment horizontal="left" vertical="top" wrapText="1" indent="1"/>
    </xf>
    <xf numFmtId="0" fontId="13" fillId="0" borderId="8" xfId="0" applyFont="1" applyFill="1" applyBorder="1" applyAlignment="1">
      <alignment horizontal="left" vertical="top" wrapText="1" indent="1"/>
    </xf>
    <xf numFmtId="0" fontId="13" fillId="0" borderId="9" xfId="0" applyFont="1" applyFill="1" applyBorder="1" applyAlignment="1">
      <alignment horizontal="left" vertical="top" wrapText="1" inden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  <xf numFmtId="1" fontId="7" fillId="0" borderId="15" xfId="0" applyNumberFormat="1" applyFont="1" applyFill="1" applyBorder="1" applyAlignment="1">
      <alignment horizontal="center" vertical="top" shrinkToFit="1"/>
    </xf>
    <xf numFmtId="1" fontId="7" fillId="0" borderId="15" xfId="0" applyNumberFormat="1" applyFont="1" applyFill="1" applyBorder="1" applyAlignment="1">
      <alignment vertical="top" shrinkToFit="1"/>
    </xf>
    <xf numFmtId="0" fontId="0" fillId="0" borderId="15" xfId="0" applyFill="1" applyBorder="1" applyAlignment="1">
      <alignment horizontal="left" vertical="top"/>
    </xf>
    <xf numFmtId="0" fontId="7" fillId="0" borderId="15" xfId="0" applyFont="1" applyFill="1" applyBorder="1" applyAlignment="1">
      <alignment horizontal="left" vertical="top"/>
    </xf>
    <xf numFmtId="0" fontId="0" fillId="0" borderId="15" xfId="0" applyFill="1" applyBorder="1" applyAlignment="1">
      <alignment horizontal="left" wrapText="1"/>
    </xf>
    <xf numFmtId="0" fontId="0" fillId="3" borderId="15" xfId="0" applyFill="1" applyBorder="1" applyAlignment="1">
      <alignment horizontal="left" wrapText="1"/>
    </xf>
    <xf numFmtId="0" fontId="0" fillId="9" borderId="15" xfId="0" applyFill="1" applyBorder="1" applyAlignment="1">
      <alignment horizontal="left" wrapText="1"/>
    </xf>
    <xf numFmtId="0" fontId="7" fillId="0" borderId="16" xfId="0" applyFont="1" applyFill="1" applyBorder="1" applyAlignment="1">
      <alignment horizontal="left" wrapText="1"/>
    </xf>
    <xf numFmtId="1" fontId="7" fillId="0" borderId="17" xfId="0" applyNumberFormat="1" applyFont="1" applyFill="1" applyBorder="1" applyAlignment="1">
      <alignment horizontal="center" vertical="top" shrinkToFit="1"/>
    </xf>
    <xf numFmtId="1" fontId="7" fillId="0" borderId="17" xfId="0" applyNumberFormat="1" applyFont="1" applyFill="1" applyBorder="1" applyAlignment="1">
      <alignment vertical="top" shrinkToFit="1"/>
    </xf>
    <xf numFmtId="0" fontId="7" fillId="0" borderId="17" xfId="0" applyFont="1" applyFill="1" applyBorder="1" applyAlignment="1">
      <alignment horizontal="left" vertical="top"/>
    </xf>
    <xf numFmtId="0" fontId="0" fillId="3" borderId="17" xfId="0" applyFill="1" applyBorder="1" applyAlignment="1">
      <alignment horizontal="left" wrapText="1"/>
    </xf>
    <xf numFmtId="0" fontId="0" fillId="10" borderId="17" xfId="0" applyFill="1" applyBorder="1" applyAlignment="1">
      <alignment horizontal="left" wrapText="1"/>
    </xf>
    <xf numFmtId="0" fontId="7" fillId="0" borderId="18" xfId="0" applyFont="1" applyFill="1" applyBorder="1" applyAlignment="1">
      <alignment horizontal="left" wrapText="1"/>
    </xf>
    <xf numFmtId="0" fontId="0" fillId="12" borderId="17" xfId="0" applyFill="1" applyBorder="1" applyAlignment="1">
      <alignment horizontal="left" wrapText="1"/>
    </xf>
    <xf numFmtId="0" fontId="0" fillId="0" borderId="17" xfId="0" applyFill="1" applyBorder="1" applyAlignment="1">
      <alignment horizontal="left" vertical="top"/>
    </xf>
    <xf numFmtId="0" fontId="0" fillId="3" borderId="17" xfId="0" applyFill="1" applyBorder="1" applyAlignment="1">
      <alignment horizontal="left" vertical="top"/>
    </xf>
    <xf numFmtId="0" fontId="0" fillId="5" borderId="17" xfId="0" applyFill="1" applyBorder="1" applyAlignment="1">
      <alignment horizontal="left" vertical="top"/>
    </xf>
    <xf numFmtId="0" fontId="0" fillId="5" borderId="17" xfId="0" applyFill="1" applyBorder="1" applyAlignment="1">
      <alignment horizontal="left" wrapText="1"/>
    </xf>
    <xf numFmtId="1" fontId="7" fillId="3" borderId="17" xfId="0" applyNumberFormat="1" applyFont="1" applyFill="1" applyBorder="1" applyAlignment="1">
      <alignment horizontal="center" vertical="top" shrinkToFit="1"/>
    </xf>
    <xf numFmtId="0" fontId="7" fillId="0" borderId="17" xfId="0" applyFont="1" applyFill="1" applyBorder="1" applyAlignment="1">
      <alignment vertical="top"/>
    </xf>
    <xf numFmtId="0" fontId="0" fillId="2" borderId="17" xfId="0" applyFill="1" applyBorder="1" applyAlignment="1">
      <alignment horizontal="left" vertical="top"/>
    </xf>
    <xf numFmtId="0" fontId="7" fillId="3" borderId="18" xfId="0" applyFont="1" applyFill="1" applyBorder="1" applyAlignment="1">
      <alignment horizontal="left" wrapText="1"/>
    </xf>
    <xf numFmtId="0" fontId="0" fillId="14" borderId="17" xfId="0" applyFill="1" applyBorder="1" applyAlignment="1">
      <alignment horizontal="left" vertical="top"/>
    </xf>
    <xf numFmtId="0" fontId="0" fillId="18" borderId="17" xfId="0" applyFill="1" applyBorder="1" applyAlignment="1">
      <alignment horizontal="left" wrapText="1"/>
    </xf>
    <xf numFmtId="0" fontId="0" fillId="0" borderId="17" xfId="0" applyFill="1" applyBorder="1" applyAlignment="1">
      <alignment horizontal="left" wrapText="1"/>
    </xf>
    <xf numFmtId="0" fontId="0" fillId="13" borderId="17" xfId="0" applyFill="1" applyBorder="1" applyAlignment="1">
      <alignment horizontal="left" wrapText="1"/>
    </xf>
    <xf numFmtId="1" fontId="7" fillId="0" borderId="17" xfId="0" applyNumberFormat="1" applyFont="1" applyBorder="1" applyAlignment="1">
      <alignment horizontal="left" vertical="top" shrinkToFit="1"/>
    </xf>
    <xf numFmtId="0" fontId="0" fillId="14" borderId="17" xfId="0" applyFill="1" applyBorder="1" applyAlignment="1">
      <alignment horizontal="left" wrapText="1"/>
    </xf>
    <xf numFmtId="0" fontId="0" fillId="4" borderId="17" xfId="0" applyFill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7" fillId="0" borderId="18" xfId="0" applyFont="1" applyFill="1" applyBorder="1" applyAlignment="1">
      <alignment horizontal="left" vertical="top"/>
    </xf>
    <xf numFmtId="0" fontId="0" fillId="7" borderId="17" xfId="0" applyFill="1" applyBorder="1" applyAlignment="1">
      <alignment horizontal="left" wrapText="1"/>
    </xf>
    <xf numFmtId="0" fontId="0" fillId="19" borderId="17" xfId="0" applyFill="1" applyBorder="1" applyAlignment="1">
      <alignment horizontal="left" wrapText="1"/>
    </xf>
    <xf numFmtId="0" fontId="0" fillId="12" borderId="17" xfId="0" applyFill="1" applyBorder="1" applyAlignment="1">
      <alignment horizontal="left" vertical="top"/>
    </xf>
    <xf numFmtId="0" fontId="0" fillId="7" borderId="17" xfId="0" applyFill="1" applyBorder="1" applyAlignment="1">
      <alignment horizontal="left" vertical="top"/>
    </xf>
    <xf numFmtId="0" fontId="0" fillId="15" borderId="17" xfId="0" applyFill="1" applyBorder="1" applyAlignment="1">
      <alignment horizontal="left" vertical="top"/>
    </xf>
    <xf numFmtId="0" fontId="0" fillId="10" borderId="17" xfId="0" applyFill="1" applyBorder="1" applyAlignment="1">
      <alignment horizontal="left" vertical="top"/>
    </xf>
    <xf numFmtId="0" fontId="0" fillId="16" borderId="17" xfId="0" applyFill="1" applyBorder="1" applyAlignment="1">
      <alignment horizontal="left" vertical="top"/>
    </xf>
    <xf numFmtId="0" fontId="0" fillId="6" borderId="17" xfId="0" applyFill="1" applyBorder="1" applyAlignment="1">
      <alignment horizontal="left" vertical="top"/>
    </xf>
    <xf numFmtId="0" fontId="0" fillId="11" borderId="17" xfId="0" applyFill="1" applyBorder="1" applyAlignment="1">
      <alignment horizontal="left" wrapText="1"/>
    </xf>
    <xf numFmtId="0" fontId="7" fillId="0" borderId="17" xfId="0" applyFont="1" applyFill="1" applyBorder="1" applyAlignment="1">
      <alignment horizontal="left" wrapText="1"/>
    </xf>
    <xf numFmtId="0" fontId="0" fillId="8" borderId="17" xfId="0" applyFill="1" applyBorder="1" applyAlignment="1">
      <alignment horizontal="left" wrapText="1"/>
    </xf>
    <xf numFmtId="1" fontId="7" fillId="0" borderId="19" xfId="0" applyNumberFormat="1" applyFont="1" applyFill="1" applyBorder="1" applyAlignment="1">
      <alignment horizontal="center" vertical="top" shrinkToFit="1"/>
    </xf>
    <xf numFmtId="1" fontId="7" fillId="0" borderId="19" xfId="0" applyNumberFormat="1" applyFont="1" applyFill="1" applyBorder="1" applyAlignment="1">
      <alignment vertical="top" shrinkToFit="1"/>
    </xf>
    <xf numFmtId="0" fontId="7" fillId="0" borderId="19" xfId="0" applyFont="1" applyFill="1" applyBorder="1" applyAlignment="1">
      <alignment horizontal="left" vertical="top"/>
    </xf>
    <xf numFmtId="0" fontId="0" fillId="0" borderId="19" xfId="0" applyFill="1" applyBorder="1" applyAlignment="1">
      <alignment horizontal="left" vertical="top"/>
    </xf>
    <xf numFmtId="0" fontId="0" fillId="17" borderId="19" xfId="0" applyFill="1" applyBorder="1" applyAlignment="1">
      <alignment horizontal="left" vertical="top"/>
    </xf>
    <xf numFmtId="0" fontId="7" fillId="0" borderId="2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BFC2E"/>
      <color rgb="FF00FFFF"/>
      <color rgb="FFFF0000"/>
      <color rgb="FFCCFF33"/>
      <color rgb="FFFF99CC"/>
      <color rgb="FFFFCC00"/>
      <color rgb="FF3366FF"/>
      <color rgb="FF6600CC"/>
      <color rgb="FFCC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2'!$E$31:$AN$31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13</c:v>
                </c:pt>
                <c:pt idx="3">
                  <c:v>22</c:v>
                </c:pt>
                <c:pt idx="4">
                  <c:v>19</c:v>
                </c:pt>
                <c:pt idx="5">
                  <c:v>16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9</c:v>
                </c:pt>
                <c:pt idx="19">
                  <c:v>10</c:v>
                </c:pt>
                <c:pt idx="20">
                  <c:v>15</c:v>
                </c:pt>
                <c:pt idx="21">
                  <c:v>27</c:v>
                </c:pt>
                <c:pt idx="22">
                  <c:v>31</c:v>
                </c:pt>
                <c:pt idx="23">
                  <c:v>29</c:v>
                </c:pt>
                <c:pt idx="24">
                  <c:v>36</c:v>
                </c:pt>
                <c:pt idx="25">
                  <c:v>31</c:v>
                </c:pt>
                <c:pt idx="26">
                  <c:v>28</c:v>
                </c:pt>
                <c:pt idx="27">
                  <c:v>15</c:v>
                </c:pt>
                <c:pt idx="28">
                  <c:v>8</c:v>
                </c:pt>
                <c:pt idx="29">
                  <c:v>7</c:v>
                </c:pt>
                <c:pt idx="30">
                  <c:v>6</c:v>
                </c:pt>
                <c:pt idx="31">
                  <c:v>4</c:v>
                </c:pt>
                <c:pt idx="32">
                  <c:v>4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1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32</xdr:row>
      <xdr:rowOff>4762</xdr:rowOff>
    </xdr:from>
    <xdr:to>
      <xdr:col>40</xdr:col>
      <xdr:colOff>333375</xdr:colOff>
      <xdr:row>48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43</xdr:row>
      <xdr:rowOff>57150</xdr:rowOff>
    </xdr:from>
    <xdr:to>
      <xdr:col>40</xdr:col>
      <xdr:colOff>695325</xdr:colOff>
      <xdr:row>43</xdr:row>
      <xdr:rowOff>66675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714625" y="91059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34</xdr:row>
      <xdr:rowOff>66675</xdr:rowOff>
    </xdr:from>
    <xdr:to>
      <xdr:col>2</xdr:col>
      <xdr:colOff>198710</xdr:colOff>
      <xdr:row>37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34</xdr:row>
      <xdr:rowOff>76201</xdr:rowOff>
    </xdr:from>
    <xdr:to>
      <xdr:col>1</xdr:col>
      <xdr:colOff>176261</xdr:colOff>
      <xdr:row>38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39</xdr:row>
      <xdr:rowOff>142875</xdr:rowOff>
    </xdr:from>
    <xdr:to>
      <xdr:col>1</xdr:col>
      <xdr:colOff>135859</xdr:colOff>
      <xdr:row>41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39</xdr:row>
      <xdr:rowOff>104775</xdr:rowOff>
    </xdr:from>
    <xdr:to>
      <xdr:col>2</xdr:col>
      <xdr:colOff>141886</xdr:colOff>
      <xdr:row>41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39</xdr:row>
      <xdr:rowOff>66675</xdr:rowOff>
    </xdr:from>
    <xdr:to>
      <xdr:col>2</xdr:col>
      <xdr:colOff>920637</xdr:colOff>
      <xdr:row>41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42</xdr:row>
      <xdr:rowOff>159027</xdr:rowOff>
    </xdr:from>
    <xdr:to>
      <xdr:col>1</xdr:col>
      <xdr:colOff>196297</xdr:colOff>
      <xdr:row>45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43</xdr:row>
      <xdr:rowOff>6627</xdr:rowOff>
    </xdr:from>
    <xdr:to>
      <xdr:col>2</xdr:col>
      <xdr:colOff>183274</xdr:colOff>
      <xdr:row>45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42</xdr:row>
      <xdr:rowOff>159027</xdr:rowOff>
    </xdr:from>
    <xdr:to>
      <xdr:col>2</xdr:col>
      <xdr:colOff>933450</xdr:colOff>
      <xdr:row>45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34</xdr:row>
      <xdr:rowOff>57150</xdr:rowOff>
    </xdr:from>
    <xdr:to>
      <xdr:col>2</xdr:col>
      <xdr:colOff>960055</xdr:colOff>
      <xdr:row>38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W19" sqref="W19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30.5" customWidth="1"/>
    <col min="4" max="4" width="18" customWidth="1"/>
    <col min="5" max="30" width="3.1640625" customWidth="1"/>
    <col min="31" max="31" width="4.83203125" customWidth="1"/>
    <col min="32" max="36" width="3.1640625" customWidth="1"/>
    <col min="37" max="37" width="4.33203125" customWidth="1"/>
    <col min="38" max="39" width="3.1640625" customWidth="1"/>
    <col min="40" max="40" width="4.1640625" customWidth="1"/>
    <col min="41" max="41" width="25.83203125" customWidth="1"/>
  </cols>
  <sheetData>
    <row r="1" spans="1:41" ht="46.5" customHeight="1" thickBot="1" x14ac:dyDescent="0.25">
      <c r="A1" s="21" t="s">
        <v>116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3"/>
    </row>
    <row r="2" spans="1:41" ht="41.85" customHeight="1" x14ac:dyDescent="0.2">
      <c r="A2" s="24" t="s">
        <v>0</v>
      </c>
      <c r="B2" s="16" t="s">
        <v>3</v>
      </c>
      <c r="C2" s="14" t="s">
        <v>2</v>
      </c>
      <c r="D2" s="26" t="s">
        <v>4</v>
      </c>
      <c r="E2" s="18" t="s">
        <v>76</v>
      </c>
      <c r="F2" s="19"/>
      <c r="G2" s="20"/>
      <c r="H2" s="18" t="s">
        <v>77</v>
      </c>
      <c r="I2" s="19"/>
      <c r="J2" s="20"/>
      <c r="K2" s="18" t="s">
        <v>78</v>
      </c>
      <c r="L2" s="19"/>
      <c r="M2" s="20"/>
      <c r="N2" s="18" t="s">
        <v>79</v>
      </c>
      <c r="O2" s="19"/>
      <c r="P2" s="20"/>
      <c r="Q2" s="18" t="s">
        <v>80</v>
      </c>
      <c r="R2" s="19"/>
      <c r="S2" s="20"/>
      <c r="T2" s="18" t="s">
        <v>81</v>
      </c>
      <c r="U2" s="19"/>
      <c r="V2" s="20"/>
      <c r="W2" s="18" t="s">
        <v>82</v>
      </c>
      <c r="X2" s="19"/>
      <c r="Y2" s="20"/>
      <c r="Z2" s="18" t="s">
        <v>83</v>
      </c>
      <c r="AA2" s="19"/>
      <c r="AB2" s="20"/>
      <c r="AC2" s="18" t="s">
        <v>84</v>
      </c>
      <c r="AD2" s="19"/>
      <c r="AE2" s="20"/>
      <c r="AF2" s="18" t="s">
        <v>85</v>
      </c>
      <c r="AG2" s="19"/>
      <c r="AH2" s="20"/>
      <c r="AI2" s="18" t="s">
        <v>86</v>
      </c>
      <c r="AJ2" s="19"/>
      <c r="AK2" s="20"/>
      <c r="AL2" s="18" t="s">
        <v>87</v>
      </c>
      <c r="AM2" s="19"/>
      <c r="AN2" s="20"/>
      <c r="AO2" s="3" t="s">
        <v>1</v>
      </c>
    </row>
    <row r="3" spans="1:41" ht="21.75" customHeight="1" x14ac:dyDescent="0.2">
      <c r="A3" s="25"/>
      <c r="B3" s="17"/>
      <c r="C3" s="15"/>
      <c r="D3" s="27"/>
      <c r="E3" s="1">
        <v>10</v>
      </c>
      <c r="F3" s="1">
        <v>20</v>
      </c>
      <c r="G3" s="1">
        <v>30</v>
      </c>
      <c r="H3" s="1">
        <v>10</v>
      </c>
      <c r="I3" s="1">
        <v>20</v>
      </c>
      <c r="J3" s="1">
        <v>30</v>
      </c>
      <c r="K3" s="1">
        <v>10</v>
      </c>
      <c r="L3" s="1">
        <v>20</v>
      </c>
      <c r="M3" s="1">
        <v>30</v>
      </c>
      <c r="N3" s="1">
        <v>10</v>
      </c>
      <c r="O3" s="1">
        <v>20</v>
      </c>
      <c r="P3" s="1">
        <v>30</v>
      </c>
      <c r="Q3" s="1">
        <v>10</v>
      </c>
      <c r="R3" s="1">
        <v>20</v>
      </c>
      <c r="S3" s="1">
        <v>30</v>
      </c>
      <c r="T3" s="1">
        <v>10</v>
      </c>
      <c r="U3" s="1">
        <v>20</v>
      </c>
      <c r="V3" s="1">
        <v>30</v>
      </c>
      <c r="W3" s="1">
        <v>10</v>
      </c>
      <c r="X3" s="1">
        <v>20</v>
      </c>
      <c r="Y3" s="1">
        <v>30</v>
      </c>
      <c r="Z3" s="1">
        <v>10</v>
      </c>
      <c r="AA3" s="1">
        <v>20</v>
      </c>
      <c r="AB3" s="1">
        <v>30</v>
      </c>
      <c r="AC3" s="1">
        <v>10</v>
      </c>
      <c r="AD3" s="1">
        <v>20</v>
      </c>
      <c r="AE3" s="1">
        <v>30</v>
      </c>
      <c r="AF3" s="1">
        <v>10</v>
      </c>
      <c r="AG3" s="1">
        <v>20</v>
      </c>
      <c r="AH3" s="1">
        <v>30</v>
      </c>
      <c r="AI3" s="1">
        <v>10</v>
      </c>
      <c r="AJ3" s="1">
        <v>20</v>
      </c>
      <c r="AK3" s="1">
        <v>30</v>
      </c>
      <c r="AL3" s="1">
        <v>10</v>
      </c>
      <c r="AM3" s="1">
        <v>20</v>
      </c>
      <c r="AN3" s="1">
        <v>30</v>
      </c>
      <c r="AO3" s="2"/>
    </row>
    <row r="4" spans="1:41" ht="14.25" customHeight="1" x14ac:dyDescent="0.2">
      <c r="A4" s="28">
        <v>1</v>
      </c>
      <c r="B4" s="29" t="s">
        <v>51</v>
      </c>
      <c r="C4" s="30" t="s">
        <v>66</v>
      </c>
      <c r="D4" s="31" t="s">
        <v>55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3"/>
      <c r="W4" s="33"/>
      <c r="X4" s="33"/>
      <c r="Y4" s="34">
        <v>1</v>
      </c>
      <c r="Z4" s="34">
        <v>1</v>
      </c>
      <c r="AA4" s="34">
        <v>1</v>
      </c>
      <c r="AB4" s="34">
        <v>1</v>
      </c>
      <c r="AC4" s="33"/>
      <c r="AD4" s="33"/>
      <c r="AE4" s="33"/>
      <c r="AF4" s="32"/>
      <c r="AG4" s="32"/>
      <c r="AH4" s="32"/>
      <c r="AI4" s="32"/>
      <c r="AJ4" s="32"/>
      <c r="AK4" s="32"/>
      <c r="AL4" s="32"/>
      <c r="AM4" s="32"/>
      <c r="AN4" s="32"/>
      <c r="AO4" s="35" t="s">
        <v>72</v>
      </c>
    </row>
    <row r="5" spans="1:41" ht="14.25" customHeight="1" x14ac:dyDescent="0.2">
      <c r="A5" s="36">
        <v>2</v>
      </c>
      <c r="B5" s="37" t="s">
        <v>51</v>
      </c>
      <c r="C5" s="38" t="s">
        <v>57</v>
      </c>
      <c r="D5" s="38" t="s">
        <v>56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40">
        <v>4</v>
      </c>
      <c r="X5" s="40">
        <v>4</v>
      </c>
      <c r="Y5" s="40">
        <v>4</v>
      </c>
      <c r="Z5" s="40">
        <v>4</v>
      </c>
      <c r="AA5" s="40">
        <v>4</v>
      </c>
      <c r="AB5" s="40">
        <v>4</v>
      </c>
      <c r="AC5" s="40">
        <v>4</v>
      </c>
      <c r="AD5" s="40">
        <v>4</v>
      </c>
      <c r="AE5" s="40">
        <v>4</v>
      </c>
      <c r="AF5" s="40">
        <v>4</v>
      </c>
      <c r="AG5" s="40">
        <v>4</v>
      </c>
      <c r="AH5" s="40">
        <v>4</v>
      </c>
      <c r="AI5" s="40">
        <v>4</v>
      </c>
      <c r="AJ5" s="39"/>
      <c r="AK5" s="39"/>
      <c r="AL5" s="39"/>
      <c r="AM5" s="39"/>
      <c r="AN5" s="39"/>
      <c r="AO5" s="41" t="s">
        <v>73</v>
      </c>
    </row>
    <row r="6" spans="1:41" ht="14.25" customHeight="1" x14ac:dyDescent="0.2">
      <c r="A6" s="36">
        <v>3</v>
      </c>
      <c r="B6" s="37" t="s">
        <v>51</v>
      </c>
      <c r="C6" s="38" t="s">
        <v>58</v>
      </c>
      <c r="D6" s="38" t="s">
        <v>59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42">
        <v>1</v>
      </c>
      <c r="AE6" s="42">
        <v>1</v>
      </c>
      <c r="AF6" s="42">
        <v>1</v>
      </c>
      <c r="AG6" s="42">
        <v>1</v>
      </c>
      <c r="AH6" s="39"/>
      <c r="AI6" s="39"/>
      <c r="AJ6" s="39"/>
      <c r="AK6" s="39"/>
      <c r="AL6" s="39"/>
      <c r="AM6" s="39"/>
      <c r="AN6" s="39"/>
      <c r="AO6" s="41" t="s">
        <v>72</v>
      </c>
    </row>
    <row r="7" spans="1:41" ht="14.25" customHeight="1" x14ac:dyDescent="0.2">
      <c r="A7" s="36">
        <v>4</v>
      </c>
      <c r="B7" s="37" t="s">
        <v>50</v>
      </c>
      <c r="C7" s="43" t="s">
        <v>67</v>
      </c>
      <c r="D7" s="38" t="s">
        <v>60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44"/>
      <c r="AA7" s="44"/>
      <c r="AB7" s="45">
        <v>1</v>
      </c>
      <c r="AC7" s="46">
        <v>1</v>
      </c>
      <c r="AD7" s="46">
        <v>1</v>
      </c>
      <c r="AE7" s="46">
        <v>1</v>
      </c>
      <c r="AF7" s="46">
        <v>1</v>
      </c>
      <c r="AG7" s="46">
        <v>1</v>
      </c>
      <c r="AH7" s="46">
        <v>1</v>
      </c>
      <c r="AI7" s="46">
        <v>1</v>
      </c>
      <c r="AJ7" s="46">
        <v>1</v>
      </c>
      <c r="AK7" s="46">
        <v>1</v>
      </c>
      <c r="AL7" s="39"/>
      <c r="AM7" s="39"/>
      <c r="AN7" s="39"/>
      <c r="AO7" s="41" t="s">
        <v>74</v>
      </c>
    </row>
    <row r="8" spans="1:41" ht="14.25" customHeight="1" x14ac:dyDescent="0.2">
      <c r="A8" s="47">
        <v>5</v>
      </c>
      <c r="B8" s="48" t="s">
        <v>51</v>
      </c>
      <c r="C8" s="38" t="s">
        <v>102</v>
      </c>
      <c r="D8" s="38" t="s">
        <v>88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9">
        <v>4</v>
      </c>
      <c r="AA8" s="49">
        <v>4</v>
      </c>
      <c r="AB8" s="49">
        <v>4</v>
      </c>
      <c r="AC8" s="49">
        <v>4</v>
      </c>
      <c r="AD8" s="49">
        <v>4</v>
      </c>
      <c r="AE8" s="49">
        <v>4</v>
      </c>
      <c r="AF8" s="43"/>
      <c r="AG8" s="43"/>
      <c r="AH8" s="43"/>
      <c r="AI8" s="43"/>
      <c r="AJ8" s="43"/>
      <c r="AK8" s="43"/>
      <c r="AL8" s="43"/>
      <c r="AM8" s="43"/>
      <c r="AN8" s="43"/>
      <c r="AO8" s="50" t="s">
        <v>72</v>
      </c>
    </row>
    <row r="9" spans="1:41" ht="14.25" customHeight="1" x14ac:dyDescent="0.2">
      <c r="A9" s="36">
        <v>6</v>
      </c>
      <c r="B9" s="48" t="s">
        <v>51</v>
      </c>
      <c r="C9" s="38" t="s">
        <v>119</v>
      </c>
      <c r="D9" s="38" t="s">
        <v>117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51">
        <v>3</v>
      </c>
      <c r="AA9" s="51">
        <v>3</v>
      </c>
      <c r="AB9" s="51">
        <v>3</v>
      </c>
      <c r="AC9" s="51">
        <v>3</v>
      </c>
      <c r="AD9" s="51">
        <v>3</v>
      </c>
      <c r="AE9" s="51">
        <v>3</v>
      </c>
      <c r="AF9" s="43"/>
      <c r="AG9" s="43"/>
      <c r="AH9" s="43"/>
      <c r="AI9" s="43"/>
      <c r="AJ9" s="43"/>
      <c r="AK9" s="43"/>
      <c r="AL9" s="43"/>
      <c r="AM9" s="43"/>
      <c r="AN9" s="43"/>
      <c r="AO9" s="50" t="s">
        <v>72</v>
      </c>
    </row>
    <row r="10" spans="1:41" ht="14.25" customHeight="1" x14ac:dyDescent="0.2">
      <c r="A10" s="36">
        <v>7</v>
      </c>
      <c r="B10" s="37" t="s">
        <v>51</v>
      </c>
      <c r="C10" s="38" t="s">
        <v>70</v>
      </c>
      <c r="D10" s="38" t="s">
        <v>64</v>
      </c>
      <c r="E10" s="52">
        <v>4</v>
      </c>
      <c r="F10" s="52">
        <v>4</v>
      </c>
      <c r="G10" s="52">
        <v>4</v>
      </c>
      <c r="H10" s="52">
        <v>4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52">
        <v>4</v>
      </c>
      <c r="AD10" s="52">
        <v>4</v>
      </c>
      <c r="AE10" s="52">
        <v>4</v>
      </c>
      <c r="AF10" s="52">
        <v>4</v>
      </c>
      <c r="AG10" s="39"/>
      <c r="AH10" s="39"/>
      <c r="AI10" s="39"/>
      <c r="AJ10" s="39"/>
      <c r="AK10" s="39"/>
      <c r="AL10" s="39"/>
      <c r="AM10" s="53"/>
      <c r="AN10" s="53"/>
      <c r="AO10" s="41" t="s">
        <v>72</v>
      </c>
    </row>
    <row r="11" spans="1:41" ht="14.25" customHeight="1" x14ac:dyDescent="0.2">
      <c r="A11" s="36">
        <v>8</v>
      </c>
      <c r="B11" s="37" t="s">
        <v>51</v>
      </c>
      <c r="C11" s="38" t="s">
        <v>68</v>
      </c>
      <c r="D11" s="38" t="s">
        <v>61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42">
        <v>1</v>
      </c>
      <c r="AK11" s="42">
        <v>1</v>
      </c>
      <c r="AL11" s="42">
        <v>1</v>
      </c>
      <c r="AM11" s="39"/>
      <c r="AN11" s="39"/>
      <c r="AO11" s="41" t="s">
        <v>72</v>
      </c>
    </row>
    <row r="12" spans="1:41" ht="14.25" customHeight="1" x14ac:dyDescent="0.2">
      <c r="A12" s="36">
        <v>9</v>
      </c>
      <c r="B12" s="37" t="s">
        <v>51</v>
      </c>
      <c r="C12" s="43" t="s">
        <v>103</v>
      </c>
      <c r="D12" s="38" t="s">
        <v>89</v>
      </c>
      <c r="E12" s="39"/>
      <c r="F12" s="39"/>
      <c r="G12" s="39"/>
      <c r="H12" s="54">
        <v>3</v>
      </c>
      <c r="I12" s="54">
        <v>4</v>
      </c>
      <c r="J12" s="54">
        <v>4</v>
      </c>
      <c r="K12" s="54">
        <v>4</v>
      </c>
      <c r="L12" s="54">
        <v>4</v>
      </c>
      <c r="M12" s="54">
        <v>3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41" t="s">
        <v>72</v>
      </c>
    </row>
    <row r="13" spans="1:41" ht="14.25" customHeight="1" x14ac:dyDescent="0.2">
      <c r="A13" s="47">
        <v>10</v>
      </c>
      <c r="B13" s="37" t="s">
        <v>51</v>
      </c>
      <c r="C13" s="55" t="s">
        <v>104</v>
      </c>
      <c r="D13" s="38" t="s">
        <v>90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56">
        <v>3</v>
      </c>
      <c r="X13" s="56">
        <v>4</v>
      </c>
      <c r="Y13" s="56">
        <v>4</v>
      </c>
      <c r="Z13" s="56">
        <v>4</v>
      </c>
      <c r="AA13" s="56">
        <v>3</v>
      </c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41" t="s">
        <v>72</v>
      </c>
    </row>
    <row r="14" spans="1:41" ht="14.25" customHeight="1" x14ac:dyDescent="0.2">
      <c r="A14" s="36">
        <v>11</v>
      </c>
      <c r="B14" s="48" t="s">
        <v>51</v>
      </c>
      <c r="C14" s="38" t="s">
        <v>105</v>
      </c>
      <c r="D14" s="38" t="s">
        <v>91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57">
        <v>2</v>
      </c>
      <c r="AD14" s="57">
        <v>2</v>
      </c>
      <c r="AE14" s="57">
        <v>1</v>
      </c>
      <c r="AF14" s="57">
        <v>2</v>
      </c>
      <c r="AG14" s="57">
        <v>2</v>
      </c>
      <c r="AH14" s="57">
        <v>2</v>
      </c>
      <c r="AI14" s="43"/>
      <c r="AJ14" s="43"/>
      <c r="AK14" s="43"/>
      <c r="AL14" s="43"/>
      <c r="AM14" s="43"/>
      <c r="AN14" s="43"/>
      <c r="AO14" s="41" t="s">
        <v>72</v>
      </c>
    </row>
    <row r="15" spans="1:41" ht="14.25" customHeight="1" x14ac:dyDescent="0.2">
      <c r="A15" s="36">
        <v>12</v>
      </c>
      <c r="B15" s="48" t="s">
        <v>51</v>
      </c>
      <c r="C15" s="58" t="s">
        <v>106</v>
      </c>
      <c r="D15" s="38" t="s">
        <v>92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51">
        <v>4</v>
      </c>
      <c r="Z15" s="51">
        <v>5</v>
      </c>
      <c r="AA15" s="51">
        <v>5</v>
      </c>
      <c r="AB15" s="51">
        <v>5</v>
      </c>
      <c r="AC15" s="51">
        <v>4</v>
      </c>
      <c r="AD15" s="44"/>
      <c r="AE15" s="44"/>
      <c r="AF15" s="43"/>
      <c r="AG15" s="43"/>
      <c r="AH15" s="43"/>
      <c r="AI15" s="43"/>
      <c r="AJ15" s="43"/>
      <c r="AK15" s="43"/>
      <c r="AL15" s="43"/>
      <c r="AM15" s="43"/>
      <c r="AN15" s="43"/>
      <c r="AO15" s="59" t="s">
        <v>74</v>
      </c>
    </row>
    <row r="16" spans="1:41" ht="14.25" customHeight="1" x14ac:dyDescent="0.2">
      <c r="A16" s="36">
        <v>13</v>
      </c>
      <c r="B16" s="37" t="s">
        <v>51</v>
      </c>
      <c r="C16" s="38" t="s">
        <v>69</v>
      </c>
      <c r="D16" s="38" t="s">
        <v>62</v>
      </c>
      <c r="E16" s="60">
        <v>1</v>
      </c>
      <c r="F16" s="60">
        <v>3</v>
      </c>
      <c r="G16" s="60">
        <v>7</v>
      </c>
      <c r="H16" s="60">
        <v>9</v>
      </c>
      <c r="I16" s="60">
        <v>7</v>
      </c>
      <c r="J16" s="60">
        <v>3</v>
      </c>
      <c r="K16" s="60">
        <v>1</v>
      </c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41" t="s">
        <v>74</v>
      </c>
    </row>
    <row r="17" spans="1:41" ht="14.25" customHeight="1" x14ac:dyDescent="0.2">
      <c r="A17" s="36">
        <v>14</v>
      </c>
      <c r="B17" s="37" t="s">
        <v>50</v>
      </c>
      <c r="C17" s="38" t="s">
        <v>75</v>
      </c>
      <c r="D17" s="38" t="s">
        <v>63</v>
      </c>
      <c r="E17" s="39"/>
      <c r="F17" s="39"/>
      <c r="G17" s="39"/>
      <c r="H17" s="39"/>
      <c r="I17" s="39"/>
      <c r="J17" s="39"/>
      <c r="K17" s="61">
        <v>1</v>
      </c>
      <c r="L17" s="61">
        <v>1</v>
      </c>
      <c r="M17" s="61">
        <v>1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53"/>
      <c r="Y17" s="53"/>
      <c r="Z17" s="53"/>
      <c r="AA17" s="53"/>
      <c r="AB17" s="53"/>
      <c r="AC17" s="53"/>
      <c r="AD17" s="53"/>
      <c r="AE17" s="53"/>
      <c r="AF17" s="53"/>
      <c r="AG17" s="43"/>
      <c r="AH17" s="53"/>
      <c r="AI17" s="53"/>
      <c r="AJ17" s="53"/>
      <c r="AK17" s="53"/>
      <c r="AL17" s="53"/>
      <c r="AM17" s="53"/>
      <c r="AN17" s="53"/>
      <c r="AO17" s="41" t="s">
        <v>73</v>
      </c>
    </row>
    <row r="18" spans="1:41" ht="14.25" customHeight="1" x14ac:dyDescent="0.2">
      <c r="A18" s="47">
        <v>15</v>
      </c>
      <c r="B18" s="48" t="s">
        <v>51</v>
      </c>
      <c r="C18" s="58" t="s">
        <v>107</v>
      </c>
      <c r="D18" s="38" t="s">
        <v>93</v>
      </c>
      <c r="E18" s="43"/>
      <c r="F18" s="43"/>
      <c r="G18" s="43"/>
      <c r="H18" s="43"/>
      <c r="I18" s="62">
        <v>1</v>
      </c>
      <c r="J18" s="62">
        <v>2</v>
      </c>
      <c r="K18" s="62">
        <v>2</v>
      </c>
      <c r="L18" s="62">
        <v>2</v>
      </c>
      <c r="M18" s="62">
        <v>2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59" t="s">
        <v>72</v>
      </c>
    </row>
    <row r="19" spans="1:41" ht="14.25" customHeight="1" x14ac:dyDescent="0.2">
      <c r="A19" s="36">
        <v>16</v>
      </c>
      <c r="B19" s="48" t="s">
        <v>51</v>
      </c>
      <c r="C19" s="38" t="s">
        <v>108</v>
      </c>
      <c r="D19" s="38" t="s">
        <v>94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63">
        <v>1</v>
      </c>
      <c r="AJ19" s="63">
        <v>2</v>
      </c>
      <c r="AK19" s="63">
        <v>2</v>
      </c>
      <c r="AL19" s="63">
        <v>2</v>
      </c>
      <c r="AM19" s="63">
        <v>2</v>
      </c>
      <c r="AN19" s="63">
        <v>2</v>
      </c>
      <c r="AO19" s="59" t="s">
        <v>73</v>
      </c>
    </row>
    <row r="20" spans="1:41" ht="14.25" customHeight="1" x14ac:dyDescent="0.2">
      <c r="A20" s="36">
        <v>17</v>
      </c>
      <c r="B20" s="48" t="s">
        <v>51</v>
      </c>
      <c r="C20" s="38" t="s">
        <v>109</v>
      </c>
      <c r="D20" s="38" t="s">
        <v>95</v>
      </c>
      <c r="E20" s="43"/>
      <c r="F20" s="43"/>
      <c r="G20" s="43"/>
      <c r="H20" s="64">
        <v>4</v>
      </c>
      <c r="I20" s="64">
        <v>4</v>
      </c>
      <c r="J20" s="64">
        <v>4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64">
        <v>3</v>
      </c>
      <c r="AA20" s="64">
        <v>4</v>
      </c>
      <c r="AB20" s="64">
        <v>4</v>
      </c>
      <c r="AC20" s="64">
        <v>4</v>
      </c>
      <c r="AD20" s="43"/>
      <c r="AE20" s="43"/>
      <c r="AF20" s="43"/>
      <c r="AG20" s="43"/>
      <c r="AH20" s="43"/>
      <c r="AI20" s="43"/>
      <c r="AJ20" s="43"/>
      <c r="AK20" s="43"/>
      <c r="AL20" s="64">
        <v>3</v>
      </c>
      <c r="AM20" s="64">
        <v>4</v>
      </c>
      <c r="AN20" s="64">
        <v>4</v>
      </c>
      <c r="AO20" s="59" t="s">
        <v>72</v>
      </c>
    </row>
    <row r="21" spans="1:41" ht="14.25" customHeight="1" x14ac:dyDescent="0.2">
      <c r="A21" s="36">
        <v>18</v>
      </c>
      <c r="B21" s="48" t="s">
        <v>50</v>
      </c>
      <c r="C21" s="58" t="s">
        <v>110</v>
      </c>
      <c r="D21" s="38" t="s">
        <v>96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9">
        <v>2</v>
      </c>
      <c r="AB21" s="49">
        <v>2</v>
      </c>
      <c r="AC21" s="49">
        <v>2</v>
      </c>
      <c r="AD21" s="49">
        <v>2</v>
      </c>
      <c r="AE21" s="49">
        <v>1</v>
      </c>
      <c r="AF21" s="44"/>
      <c r="AG21" s="44"/>
      <c r="AH21" s="44"/>
      <c r="AI21" s="43"/>
      <c r="AJ21" s="43"/>
      <c r="AK21" s="43"/>
      <c r="AL21" s="43"/>
      <c r="AM21" s="43"/>
      <c r="AN21" s="43"/>
      <c r="AO21" s="59" t="s">
        <v>74</v>
      </c>
    </row>
    <row r="22" spans="1:41" ht="14.25" customHeight="1" x14ac:dyDescent="0.2">
      <c r="A22" s="36">
        <v>19</v>
      </c>
      <c r="B22" s="48" t="s">
        <v>50</v>
      </c>
      <c r="C22" s="38" t="s">
        <v>111</v>
      </c>
      <c r="D22" s="38" t="s">
        <v>97</v>
      </c>
      <c r="E22" s="43"/>
      <c r="F22" s="43"/>
      <c r="G22" s="43"/>
      <c r="H22" s="43"/>
      <c r="I22" s="43"/>
      <c r="J22" s="43"/>
      <c r="K22" s="65">
        <v>4</v>
      </c>
      <c r="L22" s="65">
        <v>5</v>
      </c>
      <c r="M22" s="65">
        <v>5</v>
      </c>
      <c r="N22" s="65">
        <v>5</v>
      </c>
      <c r="O22" s="65">
        <v>5</v>
      </c>
      <c r="P22" s="65">
        <v>5</v>
      </c>
      <c r="Q22" s="65">
        <v>3</v>
      </c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59" t="s">
        <v>72</v>
      </c>
    </row>
    <row r="23" spans="1:41" ht="14.25" customHeight="1" x14ac:dyDescent="0.2">
      <c r="A23" s="47">
        <v>20</v>
      </c>
      <c r="B23" s="48" t="s">
        <v>50</v>
      </c>
      <c r="C23" s="38" t="s">
        <v>112</v>
      </c>
      <c r="D23" s="38" t="s">
        <v>98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66">
        <v>1</v>
      </c>
      <c r="U23" s="66">
        <v>1</v>
      </c>
      <c r="V23" s="66">
        <v>2</v>
      </c>
      <c r="W23" s="66">
        <v>2</v>
      </c>
      <c r="X23" s="66">
        <v>2</v>
      </c>
      <c r="Y23" s="66">
        <v>2</v>
      </c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59" t="s">
        <v>72</v>
      </c>
    </row>
    <row r="24" spans="1:41" ht="14.25" customHeight="1" x14ac:dyDescent="0.2">
      <c r="A24" s="36">
        <v>21</v>
      </c>
      <c r="B24" s="48" t="s">
        <v>51</v>
      </c>
      <c r="C24" s="38" t="s">
        <v>113</v>
      </c>
      <c r="D24" s="38" t="s">
        <v>99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67">
        <v>2</v>
      </c>
      <c r="AD24" s="67">
        <v>3</v>
      </c>
      <c r="AE24" s="67">
        <v>3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59" t="s">
        <v>73</v>
      </c>
    </row>
    <row r="25" spans="1:41" ht="14.25" customHeight="1" x14ac:dyDescent="0.2">
      <c r="A25" s="36">
        <v>22</v>
      </c>
      <c r="B25" s="37" t="s">
        <v>51</v>
      </c>
      <c r="C25" s="38" t="s">
        <v>71</v>
      </c>
      <c r="D25" s="43" t="s">
        <v>65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68">
        <v>1</v>
      </c>
      <c r="AA25" s="68">
        <v>2</v>
      </c>
      <c r="AB25" s="68">
        <v>2</v>
      </c>
      <c r="AC25" s="68">
        <v>1</v>
      </c>
      <c r="AD25" s="39"/>
      <c r="AE25" s="39"/>
      <c r="AF25" s="39"/>
      <c r="AG25" s="53"/>
      <c r="AH25" s="53"/>
      <c r="AI25" s="53"/>
      <c r="AJ25" s="53"/>
      <c r="AK25" s="53"/>
      <c r="AL25" s="53"/>
      <c r="AM25" s="53"/>
      <c r="AN25" s="53"/>
      <c r="AO25" s="41" t="s">
        <v>74</v>
      </c>
    </row>
    <row r="26" spans="1:41" ht="14.25" customHeight="1" x14ac:dyDescent="0.2">
      <c r="A26" s="36">
        <v>23</v>
      </c>
      <c r="B26" s="37" t="s">
        <v>51</v>
      </c>
      <c r="C26" s="38" t="s">
        <v>54</v>
      </c>
      <c r="D26" s="69" t="s">
        <v>53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70">
        <v>1</v>
      </c>
      <c r="AE26" s="70">
        <v>1</v>
      </c>
      <c r="AF26" s="70">
        <v>1</v>
      </c>
      <c r="AG26" s="39"/>
      <c r="AH26" s="39"/>
      <c r="AI26" s="53"/>
      <c r="AJ26" s="53"/>
      <c r="AK26" s="53"/>
      <c r="AL26" s="53"/>
      <c r="AM26" s="53"/>
      <c r="AN26" s="53"/>
      <c r="AO26" s="41" t="s">
        <v>72</v>
      </c>
    </row>
    <row r="27" spans="1:41" ht="14.25" customHeight="1" x14ac:dyDescent="0.2">
      <c r="A27" s="36">
        <v>24</v>
      </c>
      <c r="B27" s="37" t="s">
        <v>51</v>
      </c>
      <c r="C27" s="38" t="s">
        <v>114</v>
      </c>
      <c r="D27" s="38" t="s">
        <v>100</v>
      </c>
      <c r="E27" s="43"/>
      <c r="F27" s="43"/>
      <c r="G27" s="51">
        <v>2</v>
      </c>
      <c r="H27" s="51">
        <v>2</v>
      </c>
      <c r="I27" s="51">
        <v>3</v>
      </c>
      <c r="J27" s="51">
        <v>3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4"/>
      <c r="AE27" s="44"/>
      <c r="AF27" s="44"/>
      <c r="AG27" s="43"/>
      <c r="AH27" s="43"/>
      <c r="AI27" s="43"/>
      <c r="AJ27" s="43"/>
      <c r="AK27" s="43"/>
      <c r="AL27" s="43"/>
      <c r="AM27" s="43"/>
      <c r="AN27" s="43"/>
      <c r="AO27" s="59" t="s">
        <v>74</v>
      </c>
    </row>
    <row r="28" spans="1:41" ht="14.25" customHeight="1" x14ac:dyDescent="0.2">
      <c r="A28" s="47">
        <v>25</v>
      </c>
      <c r="B28" s="43" t="s">
        <v>51</v>
      </c>
      <c r="C28" s="38" t="s">
        <v>120</v>
      </c>
      <c r="D28" s="43" t="s">
        <v>118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57">
        <v>2</v>
      </c>
      <c r="AD28" s="57">
        <v>3</v>
      </c>
      <c r="AE28" s="57">
        <v>3</v>
      </c>
      <c r="AF28" s="57">
        <v>2</v>
      </c>
      <c r="AG28" s="43"/>
      <c r="AH28" s="43"/>
      <c r="AI28" s="43"/>
      <c r="AJ28" s="43"/>
      <c r="AK28" s="43"/>
      <c r="AL28" s="43"/>
      <c r="AM28" s="43"/>
      <c r="AN28" s="43"/>
      <c r="AO28" s="59" t="s">
        <v>74</v>
      </c>
    </row>
    <row r="29" spans="1:41" ht="14.25" customHeight="1" thickBot="1" x14ac:dyDescent="0.25">
      <c r="A29" s="71">
        <v>26</v>
      </c>
      <c r="B29" s="72" t="s">
        <v>51</v>
      </c>
      <c r="C29" s="73" t="s">
        <v>115</v>
      </c>
      <c r="D29" s="73" t="s">
        <v>101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5">
        <v>2</v>
      </c>
      <c r="AA29" s="75">
        <v>3</v>
      </c>
      <c r="AB29" s="75">
        <v>3</v>
      </c>
      <c r="AC29" s="75">
        <v>3</v>
      </c>
      <c r="AD29" s="75">
        <v>3</v>
      </c>
      <c r="AE29" s="75">
        <v>2</v>
      </c>
      <c r="AF29" s="74"/>
      <c r="AG29" s="74"/>
      <c r="AH29" s="74"/>
      <c r="AI29" s="74"/>
      <c r="AJ29" s="74"/>
      <c r="AK29" s="74"/>
      <c r="AL29" s="74"/>
      <c r="AM29" s="74"/>
      <c r="AN29" s="74"/>
      <c r="AO29" s="76" t="s">
        <v>72</v>
      </c>
    </row>
    <row r="30" spans="1:41" ht="56.25" customHeight="1" thickBot="1" x14ac:dyDescent="0.25">
      <c r="A30" s="11" t="s">
        <v>52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3"/>
    </row>
    <row r="31" spans="1:41" x14ac:dyDescent="0.2">
      <c r="E31">
        <f>SUM(E4:E29)</f>
        <v>5</v>
      </c>
      <c r="F31">
        <f>SUM(F4:F29)</f>
        <v>7</v>
      </c>
      <c r="G31">
        <f>SUM(G4:G29)</f>
        <v>13</v>
      </c>
      <c r="H31">
        <f>SUM(H4:H29)</f>
        <v>22</v>
      </c>
      <c r="I31">
        <f>SUM(I4:I29)</f>
        <v>19</v>
      </c>
      <c r="J31">
        <f>SUM(J4:J29)</f>
        <v>16</v>
      </c>
      <c r="K31">
        <f>SUM(K4:K29)</f>
        <v>12</v>
      </c>
      <c r="L31">
        <f>SUM(L4:L29)</f>
        <v>12</v>
      </c>
      <c r="M31">
        <f>SUM(M4:M29)</f>
        <v>11</v>
      </c>
      <c r="N31">
        <f>SUM(N4:N29)</f>
        <v>5</v>
      </c>
      <c r="O31">
        <f>SUM(O4:O29)</f>
        <v>5</v>
      </c>
      <c r="P31">
        <f>SUM(P4:P29)</f>
        <v>5</v>
      </c>
      <c r="Q31">
        <f>SUM(Q4:Q29)</f>
        <v>3</v>
      </c>
      <c r="R31">
        <f>SUM(R4:R29)</f>
        <v>0</v>
      </c>
      <c r="S31">
        <f>SUM(S4:S29)</f>
        <v>0</v>
      </c>
      <c r="T31">
        <f>SUM(T4:T29)</f>
        <v>1</v>
      </c>
      <c r="U31">
        <f>SUM(U4:U29)</f>
        <v>1</v>
      </c>
      <c r="V31">
        <f>SUM(V4:V29)</f>
        <v>2</v>
      </c>
      <c r="W31">
        <f>SUM(W4:W29)</f>
        <v>9</v>
      </c>
      <c r="X31">
        <f>SUM(X4:X29)</f>
        <v>10</v>
      </c>
      <c r="Y31">
        <f>SUM(Y4:Y29)</f>
        <v>15</v>
      </c>
      <c r="Z31">
        <f>SUM(Z4:Z29)</f>
        <v>27</v>
      </c>
      <c r="AA31">
        <f>SUM(AA4:AA29)</f>
        <v>31</v>
      </c>
      <c r="AB31">
        <f>SUM(AB4:AB29)</f>
        <v>29</v>
      </c>
      <c r="AC31">
        <f>SUM(AC4:AC29)</f>
        <v>36</v>
      </c>
      <c r="AD31">
        <f>SUM(AD4:AD29)</f>
        <v>31</v>
      </c>
      <c r="AE31">
        <f>SUM(AE4:AE29)</f>
        <v>28</v>
      </c>
      <c r="AF31">
        <f>SUM(AF4:AF29)</f>
        <v>15</v>
      </c>
      <c r="AG31">
        <f>SUM(AG4:AG29)</f>
        <v>8</v>
      </c>
      <c r="AH31">
        <f>SUM(AH4:AH29)</f>
        <v>7</v>
      </c>
      <c r="AI31">
        <f>SUM(AI4:AI29)</f>
        <v>6</v>
      </c>
      <c r="AJ31">
        <f>SUM(AJ4:AJ29)</f>
        <v>4</v>
      </c>
      <c r="AK31">
        <f>SUM(AK4:AK29)</f>
        <v>4</v>
      </c>
      <c r="AL31">
        <f>SUM(AL4:AL29)</f>
        <v>6</v>
      </c>
      <c r="AM31">
        <f>SUM(AM4:AM29)</f>
        <v>6</v>
      </c>
      <c r="AN31">
        <f>SUM(AN4:AN29)</f>
        <v>6</v>
      </c>
    </row>
    <row r="44" spans="42:42" x14ac:dyDescent="0.2">
      <c r="AP44" s="7" t="s">
        <v>12</v>
      </c>
    </row>
    <row r="51" spans="2:35" ht="20.25" x14ac:dyDescent="0.2">
      <c r="Q51" s="6" t="s">
        <v>5</v>
      </c>
    </row>
    <row r="52" spans="2:35" ht="14.25" x14ac:dyDescent="0.2">
      <c r="C52" s="9" t="s">
        <v>49</v>
      </c>
      <c r="AI52" s="9" t="s">
        <v>48</v>
      </c>
    </row>
    <row r="53" spans="2:35" x14ac:dyDescent="0.2">
      <c r="B53" s="4" t="s">
        <v>6</v>
      </c>
      <c r="C53" s="4"/>
      <c r="AI53" s="4" t="s">
        <v>20</v>
      </c>
    </row>
    <row r="54" spans="2:35" ht="15" x14ac:dyDescent="0.25">
      <c r="B54" s="5" t="s">
        <v>7</v>
      </c>
      <c r="C54" s="4"/>
      <c r="AI54" s="4" t="s">
        <v>21</v>
      </c>
    </row>
    <row r="55" spans="2:35" x14ac:dyDescent="0.2">
      <c r="B55" s="4">
        <v>40</v>
      </c>
      <c r="C55" s="4" t="s">
        <v>8</v>
      </c>
      <c r="AI55" s="4" t="s">
        <v>22</v>
      </c>
    </row>
    <row r="56" spans="2:35" x14ac:dyDescent="0.2">
      <c r="B56" s="4">
        <v>21</v>
      </c>
      <c r="C56" s="4" t="s">
        <v>9</v>
      </c>
      <c r="AI56" s="4" t="s">
        <v>23</v>
      </c>
    </row>
    <row r="57" spans="2:35" x14ac:dyDescent="0.2">
      <c r="B57" s="4">
        <v>22</v>
      </c>
      <c r="C57" s="4" t="s">
        <v>10</v>
      </c>
      <c r="AI57" s="4" t="s">
        <v>24</v>
      </c>
    </row>
    <row r="58" spans="2:35" ht="15" x14ac:dyDescent="0.25">
      <c r="B58" s="10">
        <f>SUM(B55:B57)</f>
        <v>83</v>
      </c>
      <c r="C58" s="10" t="s">
        <v>11</v>
      </c>
      <c r="AI58" s="4" t="s">
        <v>25</v>
      </c>
    </row>
    <row r="60" spans="2:35" x14ac:dyDescent="0.2">
      <c r="C60" s="4" t="s">
        <v>13</v>
      </c>
      <c r="E60" s="4"/>
      <c r="F60" s="4"/>
      <c r="G60" s="4"/>
      <c r="H60" s="4"/>
      <c r="I60" s="4"/>
      <c r="K60" s="4"/>
      <c r="L60" s="4"/>
      <c r="M60" s="4"/>
      <c r="N60" s="4"/>
      <c r="O60" s="4"/>
      <c r="AI60" s="4" t="s">
        <v>26</v>
      </c>
    </row>
    <row r="61" spans="2:35" x14ac:dyDescent="0.2">
      <c r="C61" s="4" t="s">
        <v>14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AI61" s="4" t="s">
        <v>27</v>
      </c>
    </row>
    <row r="62" spans="2:35" x14ac:dyDescent="0.2">
      <c r="C62" s="8" t="s">
        <v>15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AI62" s="4" t="s">
        <v>28</v>
      </c>
    </row>
    <row r="63" spans="2:35" x14ac:dyDescent="0.2">
      <c r="C63" s="8" t="s">
        <v>16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AI63" s="4" t="s">
        <v>29</v>
      </c>
    </row>
    <row r="64" spans="2:35" x14ac:dyDescent="0.2">
      <c r="C64" s="8" t="s">
        <v>17</v>
      </c>
      <c r="E64" s="4"/>
      <c r="F64" s="4"/>
      <c r="G64" s="4"/>
      <c r="H64" s="4"/>
      <c r="I64" s="4"/>
      <c r="K64" s="4"/>
      <c r="L64" s="4"/>
      <c r="M64" s="4"/>
      <c r="N64" s="4"/>
      <c r="AI64" s="4" t="s">
        <v>30</v>
      </c>
    </row>
    <row r="65" spans="3:35" x14ac:dyDescent="0.2">
      <c r="C65" s="8" t="s">
        <v>19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AI65" s="4" t="s">
        <v>31</v>
      </c>
    </row>
    <row r="66" spans="3:35" x14ac:dyDescent="0.2">
      <c r="C66" s="8" t="s">
        <v>18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AI66" s="4" t="s">
        <v>32</v>
      </c>
    </row>
    <row r="67" spans="3:35" x14ac:dyDescent="0.2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3:35" x14ac:dyDescent="0.2">
      <c r="D68" s="4"/>
      <c r="E68" s="4"/>
      <c r="F68" s="4"/>
      <c r="G68" s="4"/>
      <c r="H68" s="4"/>
      <c r="I68" s="4"/>
      <c r="K68" s="4"/>
      <c r="L68" s="4"/>
      <c r="M68" s="4"/>
      <c r="N68" s="4"/>
      <c r="AI68" s="8" t="s">
        <v>36</v>
      </c>
    </row>
    <row r="69" spans="3:35" x14ac:dyDescent="0.2"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AI69" s="4" t="s">
        <v>33</v>
      </c>
    </row>
    <row r="70" spans="3:35" x14ac:dyDescent="0.2">
      <c r="AI70" s="4" t="s">
        <v>34</v>
      </c>
    </row>
    <row r="71" spans="3:35" x14ac:dyDescent="0.2">
      <c r="AI71" s="4" t="s">
        <v>35</v>
      </c>
    </row>
    <row r="73" spans="3:35" x14ac:dyDescent="0.2">
      <c r="AI73" s="4" t="s">
        <v>37</v>
      </c>
    </row>
    <row r="74" spans="3:35" x14ac:dyDescent="0.2">
      <c r="AI74" s="4" t="s">
        <v>38</v>
      </c>
    </row>
    <row r="75" spans="3:35" x14ac:dyDescent="0.2">
      <c r="AI75" s="4" t="s">
        <v>39</v>
      </c>
    </row>
    <row r="76" spans="3:35" x14ac:dyDescent="0.2">
      <c r="AI76" s="4" t="s">
        <v>40</v>
      </c>
    </row>
    <row r="77" spans="3:35" x14ac:dyDescent="0.2">
      <c r="AI77" s="8" t="s">
        <v>47</v>
      </c>
    </row>
    <row r="78" spans="3:35" x14ac:dyDescent="0.2">
      <c r="AI78" s="4" t="s">
        <v>41</v>
      </c>
    </row>
    <row r="79" spans="3:35" x14ac:dyDescent="0.2">
      <c r="AI79" s="4" t="s">
        <v>42</v>
      </c>
    </row>
    <row r="80" spans="3:35" x14ac:dyDescent="0.2">
      <c r="AI80" s="4" t="s">
        <v>43</v>
      </c>
    </row>
    <row r="81" spans="35:35" x14ac:dyDescent="0.2">
      <c r="AI81" s="4" t="s">
        <v>44</v>
      </c>
    </row>
    <row r="82" spans="35:35" x14ac:dyDescent="0.2">
      <c r="AI82" s="4" t="s">
        <v>45</v>
      </c>
    </row>
    <row r="83" spans="35:35" x14ac:dyDescent="0.2">
      <c r="AI83" s="4" t="s">
        <v>46</v>
      </c>
    </row>
    <row r="84" spans="35:35" x14ac:dyDescent="0.2">
      <c r="AI84" s="4"/>
    </row>
  </sheetData>
  <mergeCells count="18">
    <mergeCell ref="A1:AO1"/>
    <mergeCell ref="N2:P2"/>
    <mergeCell ref="Q2:S2"/>
    <mergeCell ref="T2:V2"/>
    <mergeCell ref="W2:Y2"/>
    <mergeCell ref="Z2:AB2"/>
    <mergeCell ref="A2:A3"/>
    <mergeCell ref="D2:D3"/>
    <mergeCell ref="E2:G2"/>
    <mergeCell ref="H2:J2"/>
    <mergeCell ref="K2:M2"/>
    <mergeCell ref="A30:AO30"/>
    <mergeCell ref="C2:C3"/>
    <mergeCell ref="B2:B3"/>
    <mergeCell ref="AC2:AE2"/>
    <mergeCell ref="AF2:AH2"/>
    <mergeCell ref="AI2:AK2"/>
    <mergeCell ref="AL2:AN2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4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2026-07-04T19:42:49Z</dcterms:modified>
</cp:coreProperties>
</file>