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Nuevos\"/>
    </mc:Choice>
  </mc:AlternateContent>
  <xr:revisionPtr revIDLastSave="0" documentId="13_ncr:1_{FFD8EA82-2755-4654-8A88-4A38B93F45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2" sheetId="2" r:id="rId1"/>
    <sheet name="Hoja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67" i="2" l="1"/>
  <c r="F40" i="2" l="1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AJ40" i="2"/>
  <c r="AK40" i="2"/>
  <c r="AL40" i="2"/>
  <c r="AM40" i="2"/>
  <c r="AN40" i="2"/>
  <c r="E40" i="2"/>
</calcChain>
</file>

<file path=xl/sharedStrings.xml><?xml version="1.0" encoding="utf-8"?>
<sst xmlns="http://schemas.openxmlformats.org/spreadsheetml/2006/main" count="206" uniqueCount="144">
  <si>
    <r>
      <rPr>
        <b/>
        <vertAlign val="subscript"/>
        <sz val="10"/>
        <rFont val="Times New Roman"/>
        <family val="1"/>
      </rPr>
      <t>N</t>
    </r>
    <r>
      <rPr>
        <b/>
        <sz val="6.5"/>
        <rFont val="Times New Roman"/>
        <family val="1"/>
      </rPr>
      <t>o</t>
    </r>
  </si>
  <si>
    <t>OBSERVACIONES    N.   Po.   Pr.</t>
  </si>
  <si>
    <t>NOMBRE CIENTIFICO DE LA PLANTA</t>
  </si>
  <si>
    <t>TIPO FLORAL  Pastos, Arbusto, Arbol.</t>
  </si>
  <si>
    <t>NOMBRE COMUN DE LA PLANTA</t>
  </si>
  <si>
    <t>ACTIVIDADES</t>
  </si>
  <si>
    <t>CALCULO DIAS SEGÚN LA INF DE CURVA FLORAL Y BIOLOGIA DE LA ABEJA, BIOLOGIA DE LA COLMENA</t>
  </si>
  <si>
    <t>DIAS PARA CONTAR CON POBLACIONES DE PECOREO</t>
  </si>
  <si>
    <t xml:space="preserve">DIAS PARA QUE LA REINA EMPIECE A PONER HUEVOS </t>
  </si>
  <si>
    <t>DIAS EN NACER LAS ABEJAS</t>
  </si>
  <si>
    <t>DIAS PARA QUE UNA ABEJA SEA PECOREADORA</t>
  </si>
  <si>
    <t xml:space="preserve">  DIAS PARA QUE SE PRODUZCAN PECOREADORAS</t>
  </si>
  <si>
    <t>LINEA DE MANTENIMIENTO DE LA COLONIA</t>
  </si>
  <si>
    <t>20 DIAS ANTES DE LOS PICOS MAS BAJOS DE FLUJO</t>
  </si>
  <si>
    <t>SANIDAD  EN LO MOMENTOS DE MENOR POBLACION</t>
  </si>
  <si>
    <t>CONTROL DE ENJAMBRAZON CUANDO LOS FLUJOS ESTAN ACERCANDOSE A LO MAS ALTO</t>
  </si>
  <si>
    <t>PREPARACION A INVERNADA ANTES DE INGRESAR AL INVIERNO</t>
  </si>
  <si>
    <t>ALIMENTACION DE INSENTIVO 40 U 80 DIAS ANTES DE LA FLORADA DE APROVECHAMIENTO</t>
  </si>
  <si>
    <t>REDUCIR ESPACIO OBSERVANDO LAS POBLACIONES Y SU REDUCCION</t>
  </si>
  <si>
    <t>INCREMENTAR CERA ANTE EN CRECIMIENTO DE POBLACIONES</t>
  </si>
  <si>
    <t>Mantenimiento del exterior de la colmena, reparando roturas que permitan la entrada de agua o aire frio al interior.</t>
  </si>
  <si>
    <t>Mantenimiento y renovación de material del colmenar en taller: preparación de cuadros, fundido de cera, pintado y reparación de cuerpos y alzas, etc.</t>
  </si>
  <si>
    <t>Limpieza y desinfección de cuadros.</t>
  </si>
  <si>
    <t>Principios de invierno: Alimentación artificial de mantenimiento.</t>
  </si>
  <si>
    <t>Mediados de invierno: Alimentación de estimulación (1 mes antes de la floración 40 dias o 80 dias).</t>
  </si>
  <si>
    <t>Finales de invierno: vigilancia del vigor de la colonia , limpieza del fondo de la colmena, inspección sanitaria.</t>
  </si>
  <si>
    <t>Revisión de colmenas (es fácil encontrarnos con alguna colmena zanganera en está época).</t>
  </si>
  <si>
    <t>Trasvase de colonias.</t>
  </si>
  <si>
    <t>Renovación de cera.</t>
  </si>
  <si>
    <t>Reestructuración del nido de cria ESPACIO .</t>
  </si>
  <si>
    <t>Vigilancia de las reservas de polen y miel (sobretodo si las lluvias no permiten el pecoreo).</t>
  </si>
  <si>
    <t>Posible tratamiento de enfermedades de la cria (loques) producción de reinas y jalea real.</t>
  </si>
  <si>
    <t>Aumento de la apertura de la piquera</t>
  </si>
  <si>
    <t>Revisión de núcleos.</t>
  </si>
  <si>
    <t>Colocación de alzas y trampa cazapolen (si queremos recolectar).</t>
  </si>
  <si>
    <t>Control de la maleza alrededor de las colmenas.</t>
  </si>
  <si>
    <t>Equilibrio biologico de colonias.</t>
  </si>
  <si>
    <t>En zonas calidas proteger de insolacion</t>
  </si>
  <si>
    <t>Control del estado sanitario.</t>
  </si>
  <si>
    <t>Control de la vegetación seca alrededor del apiario.</t>
  </si>
  <si>
    <t>Apertura total de la piquera y del fondo, si es posible.</t>
  </si>
  <si>
    <t>Alimentación artificial en caso de sequía.</t>
  </si>
  <si>
    <t xml:space="preserve">Tratamientos sanitarios: </t>
  </si>
  <si>
    <t>Producción de propóleos.</t>
  </si>
  <si>
    <t>Renovación de reinas.</t>
  </si>
  <si>
    <t>Equilibrado de colmenas, fusión de cara a facilitar la invernada.</t>
  </si>
  <si>
    <t>Preparación de la colmena para la invernada.</t>
  </si>
  <si>
    <t>Vigilancia de los bebederos, que haya en las cercanías agua fresca y limpia para las abejas.</t>
  </si>
  <si>
    <t>POSIBLES ACTIVIDADES</t>
  </si>
  <si>
    <t>CRITERIOS DE TEMPORALIDAD</t>
  </si>
  <si>
    <t>Maiz</t>
  </si>
  <si>
    <t>Prunus persica</t>
  </si>
  <si>
    <t>Arbusto</t>
  </si>
  <si>
    <t>Arbol</t>
  </si>
  <si>
    <t>Citrus</t>
  </si>
  <si>
    <t>Cebil</t>
  </si>
  <si>
    <t>Arrayan</t>
  </si>
  <si>
    <t>Zea Mays</t>
  </si>
  <si>
    <t xml:space="preserve">01-La organización de un calendario floral, ayuda al apicultor a preparar su programa de anual trabajo.
02-Registre solo las plantas importantes y predominantes que son visitas por las abejas y dentro del radio de acción de vuelo de las abejas del apiario (mellifera 3.500 Mts.)
03-Anote  el  período  floral  de  la  planta  con  una  X  y  complete  en  tres  segmentos  de  cada  10  días.  O  anote  un  valor  de  1  a  10  por  su  importancia  y  en  la  columna  de OBSERVACIONES anotar M-Po-Pro por su aptitud para la producción Melífera Polinifera o Propolifera
</t>
  </si>
  <si>
    <t>Algarrobo</t>
  </si>
  <si>
    <t>Lapacho rosado</t>
  </si>
  <si>
    <t>Tusca</t>
  </si>
  <si>
    <t>Urundel</t>
  </si>
  <si>
    <t>Duraznero</t>
  </si>
  <si>
    <t>Citricos</t>
  </si>
  <si>
    <t>Pacara</t>
  </si>
  <si>
    <t>Laurel</t>
  </si>
  <si>
    <t>Lapa lapa</t>
  </si>
  <si>
    <t>Anadenanthera colubrina</t>
  </si>
  <si>
    <t>Myracrodruon urundeuva</t>
  </si>
  <si>
    <t>Enterolobium contortisiliquum</t>
  </si>
  <si>
    <t>Handroanthus impetiginosus</t>
  </si>
  <si>
    <t>Guayabilla</t>
  </si>
  <si>
    <t>Tipa</t>
  </si>
  <si>
    <t>Tipuana tipu</t>
  </si>
  <si>
    <t>N</t>
  </si>
  <si>
    <t>Po</t>
  </si>
  <si>
    <t>N, Po</t>
  </si>
  <si>
    <t>Saitilla</t>
  </si>
  <si>
    <t>Pasto</t>
  </si>
  <si>
    <t>Chanchal</t>
  </si>
  <si>
    <t>Eucalipto</t>
  </si>
  <si>
    <t>Bejuquillo seco</t>
  </si>
  <si>
    <t>Lanza amarilla</t>
  </si>
  <si>
    <t>Quina colorada</t>
  </si>
  <si>
    <t>Sauce</t>
  </si>
  <si>
    <t>Tola</t>
  </si>
  <si>
    <t>Blanquillo</t>
  </si>
  <si>
    <t>Espinillo</t>
  </si>
  <si>
    <t>Tala</t>
  </si>
  <si>
    <t>Sopa de diablo</t>
  </si>
  <si>
    <t>Chari</t>
  </si>
  <si>
    <t>Lecheron monteño</t>
  </si>
  <si>
    <t>Teton</t>
  </si>
  <si>
    <t>Puca</t>
  </si>
  <si>
    <t xml:space="preserve">Bejuquillo </t>
  </si>
  <si>
    <t>Barroso</t>
  </si>
  <si>
    <t>Afata</t>
  </si>
  <si>
    <t>Santa maria</t>
  </si>
  <si>
    <t>Bidens pilosa</t>
  </si>
  <si>
    <t xml:space="preserve">Schkuhria pinnata </t>
  </si>
  <si>
    <t>Eucalyptus globulus Labill</t>
  </si>
  <si>
    <t>N, Po, Pr</t>
  </si>
  <si>
    <t>Gouania polygama</t>
  </si>
  <si>
    <t>N,Po</t>
  </si>
  <si>
    <t>Terminalia triflora</t>
  </si>
  <si>
    <t>Myroxylon peruiferum</t>
  </si>
  <si>
    <t>Salix humboldtiana</t>
  </si>
  <si>
    <t>Psidium guineense</t>
  </si>
  <si>
    <t>Myrcianthes leucoxyla</t>
  </si>
  <si>
    <t>Baccharis tola</t>
  </si>
  <si>
    <t>Sebastiania brasiliensis</t>
  </si>
  <si>
    <t>Galium aparine</t>
  </si>
  <si>
    <t>Vachellia aroma</t>
  </si>
  <si>
    <t>Vachellia caven</t>
  </si>
  <si>
    <t>Celtis ehrenbergiana</t>
  </si>
  <si>
    <t>Xylosma pubescens</t>
  </si>
  <si>
    <t>Parapiptadenia excelsa</t>
  </si>
  <si>
    <t>Synadenium Grantii</t>
  </si>
  <si>
    <t>Zanthoxylum</t>
  </si>
  <si>
    <t>Caiophora cirsiifolia</t>
  </si>
  <si>
    <t>Gouania polígama</t>
  </si>
  <si>
    <t>Baccharis latifolia</t>
  </si>
  <si>
    <t>Prosopis alba</t>
  </si>
  <si>
    <t>Sida rhombifolia</t>
  </si>
  <si>
    <t>Tagetes minuta</t>
  </si>
  <si>
    <t>Flavonoides</t>
  </si>
  <si>
    <t>Antioxidantes</t>
  </si>
  <si>
    <t>Ocotea puberula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</si>
  <si>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</si>
  <si>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</si>
  <si>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</si>
  <si>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</si>
  <si>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</si>
  <si>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</si>
  <si>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</si>
  <si>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</si>
  <si>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</si>
  <si>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</si>
  <si>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</si>
  <si>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</si>
  <si>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Quechualia fulta</t>
  </si>
  <si>
    <t>Koso koso</t>
  </si>
  <si>
    <t>CALENDÁRIO PARA REGISTRO DE FLORACIONES
MUNICIPIO: ENTRE RIOS
                             LOCALIDAD:  SALINAS              COMUNIDAD:                                          AÑO                              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</si>
</sst>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sz val="7"/>
      <color rgb="FF000000"/>
      <name val="Times New Roman"/>
      <family val="2"/>
    </font>
    <font>
      <b/>
      <vertAlign val="subscript"/>
      <sz val="10"/>
      <name val="Times New Roman"/>
      <family val="1"/>
    </font>
    <font>
      <b/>
      <sz val="6.5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B050"/>
      <name val="Calibri"/>
      <family val="2"/>
      <scheme val="minor"/>
    </font>
    <font>
      <b/>
      <sz val="16"/>
      <color rgb="FF000000"/>
      <name val="Times New Roman"/>
      <family val="1"/>
    </font>
    <font>
      <sz val="10"/>
      <color rgb="FFFF0000"/>
      <name val="Times New Roman"/>
      <family val="1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0"/>
      <name val="Times New Roman"/>
      <family val="1"/>
    </font>
    <font>
      <sz val="6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5F5F5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5F5F5F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F5F5F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5F5F5F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 applyFill="1" applyBorder="1" applyAlignment="1">
      <alignment horizontal="left" vertical="top"/>
    </xf>
    <xf numFmtId="1" fontId="1" fillId="0" borderId="3" xfId="0" applyNumberFormat="1" applyFont="1" applyFill="1" applyBorder="1" applyAlignment="1">
      <alignment horizontal="left" vertical="top" shrinkToFi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5" fillId="0" borderId="11" xfId="0" applyFont="1" applyFill="1" applyBorder="1" applyAlignment="1">
      <alignment horizontal="left" vertical="top" wrapText="1"/>
    </xf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Fill="1" applyBorder="1" applyAlignment="1">
      <alignment horizontal="left" vertical="top"/>
    </xf>
    <xf numFmtId="0" fontId="10" fillId="0" borderId="0" xfId="0" applyFont="1" applyFill="1" applyBorder="1" applyAlignment="1">
      <alignment horizontal="left" vertical="top"/>
    </xf>
    <xf numFmtId="0" fontId="7" fillId="0" borderId="0" xfId="0" applyFont="1"/>
    <xf numFmtId="0" fontId="12" fillId="0" borderId="0" xfId="0" applyFont="1" applyFill="1" applyBorder="1" applyAlignment="1">
      <alignment horizontal="left" vertical="top"/>
    </xf>
    <xf numFmtId="0" fontId="13" fillId="3" borderId="3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vertical="top"/>
    </xf>
    <xf numFmtId="0" fontId="0" fillId="2" borderId="3" xfId="0" applyFill="1" applyBorder="1" applyAlignment="1">
      <alignment horizontal="left" wrapText="1"/>
    </xf>
    <xf numFmtId="0" fontId="11" fillId="0" borderId="0" xfId="0" applyFont="1" applyFill="1"/>
    <xf numFmtId="1" fontId="7" fillId="0" borderId="5" xfId="0" applyNumberFormat="1" applyFont="1" applyFill="1" applyBorder="1" applyAlignment="1">
      <alignment horizontal="center" vertical="top" shrinkToFit="1"/>
    </xf>
    <xf numFmtId="0" fontId="0" fillId="4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 wrapText="1"/>
    </xf>
    <xf numFmtId="0" fontId="0" fillId="0" borderId="3" xfId="0" applyFill="1" applyBorder="1" applyAlignment="1">
      <alignment horizontal="left" vertical="top"/>
    </xf>
    <xf numFmtId="0" fontId="0" fillId="6" borderId="3" xfId="0" applyFill="1" applyBorder="1" applyAlignment="1">
      <alignment horizontal="left" wrapText="1"/>
    </xf>
    <xf numFmtId="0" fontId="0" fillId="7" borderId="3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  <xf numFmtId="0" fontId="0" fillId="9" borderId="3" xfId="0" applyFill="1" applyBorder="1" applyAlignment="1">
      <alignment horizontal="left" wrapText="1"/>
    </xf>
    <xf numFmtId="0" fontId="0" fillId="10" borderId="3" xfId="0" applyFill="1" applyBorder="1" applyAlignment="1">
      <alignment horizontal="left" wrapText="1"/>
    </xf>
    <xf numFmtId="0" fontId="0" fillId="11" borderId="3" xfId="0" applyFill="1" applyBorder="1" applyAlignment="1">
      <alignment horizontal="left" wrapText="1"/>
    </xf>
    <xf numFmtId="0" fontId="0" fillId="12" borderId="3" xfId="0" applyFill="1" applyBorder="1" applyAlignment="1">
      <alignment horizontal="left" wrapText="1"/>
    </xf>
    <xf numFmtId="0" fontId="0" fillId="13" borderId="3" xfId="0" applyFill="1" applyBorder="1" applyAlignment="1">
      <alignment horizontal="left" wrapText="1"/>
    </xf>
    <xf numFmtId="1" fontId="7" fillId="0" borderId="3" xfId="0" applyNumberFormat="1" applyFont="1" applyFill="1" applyBorder="1" applyAlignment="1">
      <alignment horizontal="left" vertical="top" shrinkToFit="1"/>
    </xf>
    <xf numFmtId="0" fontId="7" fillId="0" borderId="16" xfId="0" applyFont="1" applyFill="1" applyBorder="1" applyAlignment="1">
      <alignment horizontal="left" vertical="top"/>
    </xf>
    <xf numFmtId="0" fontId="0" fillId="7" borderId="3" xfId="0" applyFill="1" applyBorder="1" applyAlignment="1">
      <alignment horizontal="left" vertical="top"/>
    </xf>
    <xf numFmtId="0" fontId="0" fillId="14" borderId="3" xfId="0" applyFill="1" applyBorder="1" applyAlignment="1">
      <alignment horizontal="left" wrapText="1"/>
    </xf>
    <xf numFmtId="0" fontId="13" fillId="9" borderId="3" xfId="0" applyFont="1" applyFill="1" applyBorder="1" applyAlignment="1">
      <alignment horizontal="left" wrapText="1"/>
    </xf>
    <xf numFmtId="0" fontId="0" fillId="15" borderId="3" xfId="0" applyFill="1" applyBorder="1" applyAlignment="1">
      <alignment horizontal="left" wrapText="1"/>
    </xf>
    <xf numFmtId="0" fontId="13" fillId="15" borderId="3" xfId="0" applyFont="1" applyFill="1" applyBorder="1" applyAlignment="1">
      <alignment horizontal="left" wrapText="1"/>
    </xf>
    <xf numFmtId="0" fontId="0" fillId="16" borderId="3" xfId="0" applyFill="1" applyBorder="1" applyAlignment="1">
      <alignment horizontal="left" wrapText="1"/>
    </xf>
    <xf numFmtId="0" fontId="13" fillId="16" borderId="3" xfId="0" applyFont="1" applyFill="1" applyBorder="1" applyAlignment="1">
      <alignment horizontal="left" wrapText="1"/>
    </xf>
    <xf numFmtId="0" fontId="13" fillId="5" borderId="3" xfId="0" applyFont="1" applyFill="1" applyBorder="1" applyAlignment="1">
      <alignment horizontal="left" wrapText="1"/>
    </xf>
    <xf numFmtId="0" fontId="13" fillId="10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0" fillId="17" borderId="3" xfId="0" applyFill="1" applyBorder="1" applyAlignment="1">
      <alignment horizontal="left" wrapText="1"/>
    </xf>
    <xf numFmtId="0" fontId="7" fillId="3" borderId="4" xfId="0" applyFont="1" applyFill="1" applyBorder="1" applyAlignment="1">
      <alignment horizontal="left" wrapText="1"/>
    </xf>
    <xf numFmtId="0" fontId="0" fillId="3" borderId="3" xfId="0" applyFill="1" applyBorder="1" applyAlignment="1">
      <alignment horizontal="left" vertical="top"/>
    </xf>
    <xf numFmtId="0" fontId="0" fillId="18" borderId="3" xfId="0" applyFill="1" applyBorder="1" applyAlignment="1">
      <alignment horizontal="left" wrapText="1"/>
    </xf>
    <xf numFmtId="0" fontId="0" fillId="19" borderId="3" xfId="0" applyFill="1" applyBorder="1" applyAlignment="1">
      <alignment horizontal="left" wrapText="1"/>
    </xf>
    <xf numFmtId="0" fontId="0" fillId="20" borderId="3" xfId="0" applyFill="1" applyBorder="1" applyAlignment="1">
      <alignment horizontal="left" wrapText="1"/>
    </xf>
    <xf numFmtId="0" fontId="0" fillId="21" borderId="3" xfId="0" applyFill="1" applyBorder="1" applyAlignment="1">
      <alignment horizontal="left" wrapText="1"/>
    </xf>
    <xf numFmtId="0" fontId="0" fillId="22" borderId="3" xfId="0" applyFill="1" applyBorder="1" applyAlignment="1">
      <alignment horizontal="left" wrapText="1"/>
    </xf>
    <xf numFmtId="0" fontId="0" fillId="23" borderId="3" xfId="0" applyFill="1" applyBorder="1" applyAlignment="1">
      <alignment horizontal="left" wrapText="1"/>
    </xf>
    <xf numFmtId="0" fontId="13" fillId="23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vertical="top"/>
    </xf>
    <xf numFmtId="1" fontId="7" fillId="0" borderId="3" xfId="0" applyNumberFormat="1" applyFont="1" applyFill="1" applyBorder="1" applyAlignment="1">
      <alignment vertical="top" shrinkToFit="1"/>
    </xf>
    <xf numFmtId="0" fontId="7" fillId="0" borderId="16" xfId="0" applyFont="1" applyFill="1" applyBorder="1" applyAlignment="1">
      <alignment vertical="top"/>
    </xf>
    <xf numFmtId="0" fontId="0" fillId="5" borderId="16" xfId="0" applyFill="1" applyBorder="1" applyAlignment="1">
      <alignment horizontal="left" wrapText="1"/>
    </xf>
    <xf numFmtId="0" fontId="0" fillId="3" borderId="16" xfId="0" applyFill="1" applyBorder="1" applyAlignment="1">
      <alignment horizontal="left" wrapText="1"/>
    </xf>
    <xf numFmtId="0" fontId="7" fillId="0" borderId="12" xfId="0" applyFont="1" applyFill="1" applyBorder="1" applyAlignment="1">
      <alignment horizontal="left" vertical="top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1"/>
    </xf>
    <xf numFmtId="0" fontId="7" fillId="0" borderId="15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14" fillId="0" borderId="8" xfId="0" applyFont="1" applyFill="1" applyBorder="1" applyAlignment="1">
      <alignment horizontal="left" vertical="top" wrapText="1" indent="1"/>
    </xf>
    <xf numFmtId="0" fontId="14" fillId="0" borderId="9" xfId="0" applyFont="1" applyFill="1" applyBorder="1" applyAlignment="1">
      <alignment horizontal="left" vertical="top" wrapText="1" indent="1"/>
    </xf>
    <xf numFmtId="0" fontId="14" fillId="0" borderId="10" xfId="0" applyFont="1" applyFill="1" applyBorder="1" applyAlignment="1">
      <alignment horizontal="left" vertical="top" wrapText="1" inden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 indent="1"/>
    </xf>
    <xf numFmtId="0" fontId="5" fillId="0" borderId="2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33"/>
      <color rgb="FF00FFFF"/>
      <color rgb="FF3366FF"/>
      <color rgb="FFCBFC2E"/>
      <color rgb="FFFF99CC"/>
      <color rgb="FFFF0000"/>
      <color rgb="FF6600CC"/>
      <color rgb="FFCCCCFF"/>
      <color rgb="FF3399FF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CURVA FLORAL</a:t>
            </a:r>
          </a:p>
        </c:rich>
      </c:tx>
      <c:layout>
        <c:manualLayout>
          <c:xMode val="edge"/>
          <c:yMode val="edge"/>
          <c:x val="0.38596169020122806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title>
    <c:autoTitleDeleted val="0"/>
    <c:plotArea>
      <c:layout>
        <c:manualLayout>
          <c:layoutTarget val="inner"/>
          <c:xMode val="edge"/>
          <c:yMode val="edge"/>
          <c:x val="5.8928209936502128E-2"/>
          <c:y val="0.18560185185185185"/>
          <c:w val="0.8966272965879265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'Table 2'!$E$40:$AN$40</c:f>
              <c:numCache>
                <c:formatCode>General</c:formatCode>
                <c:ptCount val="36"/>
                <c:pt idx="0">
                  <c:v>39</c:v>
                </c:pt>
                <c:pt idx="1">
                  <c:v>25</c:v>
                </c:pt>
                <c:pt idx="2">
                  <c:v>14</c:v>
                </c:pt>
                <c:pt idx="3">
                  <c:v>15</c:v>
                </c:pt>
                <c:pt idx="4">
                  <c:v>10</c:v>
                </c:pt>
                <c:pt idx="5">
                  <c:v>7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8</c:v>
                </c:pt>
                <c:pt idx="10">
                  <c:v>8</c:v>
                </c:pt>
                <c:pt idx="11">
                  <c:v>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4</c:v>
                </c:pt>
                <c:pt idx="18">
                  <c:v>10</c:v>
                </c:pt>
                <c:pt idx="19">
                  <c:v>27</c:v>
                </c:pt>
                <c:pt idx="20">
                  <c:v>37</c:v>
                </c:pt>
                <c:pt idx="21">
                  <c:v>43</c:v>
                </c:pt>
                <c:pt idx="22">
                  <c:v>46</c:v>
                </c:pt>
                <c:pt idx="23">
                  <c:v>36</c:v>
                </c:pt>
                <c:pt idx="24">
                  <c:v>26</c:v>
                </c:pt>
                <c:pt idx="25">
                  <c:v>41</c:v>
                </c:pt>
                <c:pt idx="26">
                  <c:v>49</c:v>
                </c:pt>
                <c:pt idx="27">
                  <c:v>60</c:v>
                </c:pt>
                <c:pt idx="28">
                  <c:v>40</c:v>
                </c:pt>
                <c:pt idx="29">
                  <c:v>34</c:v>
                </c:pt>
                <c:pt idx="30">
                  <c:v>23</c:v>
                </c:pt>
                <c:pt idx="31">
                  <c:v>19</c:v>
                </c:pt>
                <c:pt idx="32">
                  <c:v>20</c:v>
                </c:pt>
                <c:pt idx="33">
                  <c:v>33</c:v>
                </c:pt>
                <c:pt idx="34">
                  <c:v>34</c:v>
                </c:pt>
                <c:pt idx="3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0B-444A-A994-8CE9A374E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340240"/>
        <c:axId val="346339456"/>
      </c:barChart>
      <c:catAx>
        <c:axId val="346340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39456"/>
        <c:crosses val="autoZero"/>
        <c:auto val="1"/>
        <c:lblAlgn val="ctr"/>
        <c:lblOffset val="100"/>
        <c:noMultiLvlLbl val="0"/>
      </c:catAx>
      <c:valAx>
        <c:axId val="34633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34634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138429</xdr:colOff>
      <xdr:row>1</xdr:row>
      <xdr:rowOff>120586</xdr:rowOff>
    </xdr:from>
    <xdr:ext cx="40640" cy="762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40640" cy="7620"/>
        </a:xfrm>
        <a:custGeom>
          <a:avLst/>
          <a:gdLst/>
          <a:ahLst/>
          <a:cxnLst/>
          <a:rect l="0" t="0" r="0" b="0"/>
          <a:pathLst>
            <a:path w="40640" h="7620">
              <a:moveTo>
                <a:pt x="40640" y="0"/>
              </a:moveTo>
              <a:lnTo>
                <a:pt x="0" y="0"/>
              </a:lnTo>
              <a:lnTo>
                <a:pt x="0" y="7620"/>
              </a:lnTo>
              <a:lnTo>
                <a:pt x="40640" y="7620"/>
              </a:lnTo>
              <a:lnTo>
                <a:pt x="40640" y="0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twoCellAnchor>
    <xdr:from>
      <xdr:col>3</xdr:col>
      <xdr:colOff>581026</xdr:colOff>
      <xdr:row>41</xdr:row>
      <xdr:rowOff>4762</xdr:rowOff>
    </xdr:from>
    <xdr:to>
      <xdr:col>40</xdr:col>
      <xdr:colOff>333375</xdr:colOff>
      <xdr:row>57</xdr:row>
      <xdr:rowOff>157162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361950</xdr:colOff>
      <xdr:row>52</xdr:row>
      <xdr:rowOff>57150</xdr:rowOff>
    </xdr:from>
    <xdr:to>
      <xdr:col>40</xdr:col>
      <xdr:colOff>695325</xdr:colOff>
      <xdr:row>52</xdr:row>
      <xdr:rowOff>66675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2714625" y="9105900"/>
          <a:ext cx="7877175" cy="9525"/>
        </a:xfrm>
        <a:prstGeom prst="line">
          <a:avLst/>
        </a:prstGeom>
        <a:ln w="571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569429</xdr:colOff>
      <xdr:row>43</xdr:row>
      <xdr:rowOff>66675</xdr:rowOff>
    </xdr:from>
    <xdr:to>
      <xdr:col>2</xdr:col>
      <xdr:colOff>198710</xdr:colOff>
      <xdr:row>46</xdr:row>
      <xdr:rowOff>156593</xdr:rowOff>
    </xdr:to>
    <xdr:sp macro="" textlink="">
      <xdr:nvSpPr>
        <xdr:cNvPr id="5" name="Flecha abaj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88504" y="8924925"/>
          <a:ext cx="410331" cy="575693"/>
        </a:xfrm>
        <a:prstGeom prst="downArrow">
          <a:avLst>
            <a:gd name="adj1" fmla="val 40715"/>
            <a:gd name="adj2" fmla="val 50000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0</xdr:colOff>
      <xdr:row>43</xdr:row>
      <xdr:rowOff>76201</xdr:rowOff>
    </xdr:from>
    <xdr:to>
      <xdr:col>1</xdr:col>
      <xdr:colOff>176261</xdr:colOff>
      <xdr:row>47</xdr:row>
      <xdr:rowOff>60779</xdr:rowOff>
    </xdr:to>
    <xdr:sp macro="" textlink="">
      <xdr:nvSpPr>
        <xdr:cNvPr id="7" name="Flecha abaj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8934451"/>
          <a:ext cx="395336" cy="632278"/>
        </a:xfrm>
        <a:prstGeom prst="down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62947</xdr:colOff>
      <xdr:row>48</xdr:row>
      <xdr:rowOff>142875</xdr:rowOff>
    </xdr:from>
    <xdr:to>
      <xdr:col>1</xdr:col>
      <xdr:colOff>135859</xdr:colOff>
      <xdr:row>50</xdr:row>
      <xdr:rowOff>115957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62947" y="9810750"/>
          <a:ext cx="291987" cy="296932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633116</xdr:colOff>
      <xdr:row>48</xdr:row>
      <xdr:rowOff>104775</xdr:rowOff>
    </xdr:from>
    <xdr:to>
      <xdr:col>2</xdr:col>
      <xdr:colOff>141886</xdr:colOff>
      <xdr:row>50</xdr:row>
      <xdr:rowOff>77857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852191" y="9772650"/>
          <a:ext cx="289820" cy="296932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628650</xdr:colOff>
      <xdr:row>48</xdr:row>
      <xdr:rowOff>66675</xdr:rowOff>
    </xdr:from>
    <xdr:to>
      <xdr:col>2</xdr:col>
      <xdr:colOff>920637</xdr:colOff>
      <xdr:row>50</xdr:row>
      <xdr:rowOff>39757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628775" y="9734550"/>
          <a:ext cx="291987" cy="296932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36029</xdr:colOff>
      <xdr:row>51</xdr:row>
      <xdr:rowOff>159027</xdr:rowOff>
    </xdr:from>
    <xdr:to>
      <xdr:col>1</xdr:col>
      <xdr:colOff>196297</xdr:colOff>
      <xdr:row>54</xdr:row>
      <xdr:rowOff>104776</xdr:rowOff>
    </xdr:to>
    <xdr:sp macro="" textlink="">
      <xdr:nvSpPr>
        <xdr:cNvPr id="11" name="Triángulo isóscele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6029" y="10312677"/>
          <a:ext cx="379343" cy="431524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588479</xdr:colOff>
      <xdr:row>52</xdr:row>
      <xdr:rowOff>6627</xdr:rowOff>
    </xdr:from>
    <xdr:to>
      <xdr:col>2</xdr:col>
      <xdr:colOff>183274</xdr:colOff>
      <xdr:row>54</xdr:row>
      <xdr:rowOff>114301</xdr:rowOff>
    </xdr:to>
    <xdr:sp macro="" textlink="">
      <xdr:nvSpPr>
        <xdr:cNvPr id="12" name="Triángulo isóscele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7554" y="10322202"/>
          <a:ext cx="375845" cy="431524"/>
        </a:xfrm>
        <a:prstGeom prst="triangl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>
            <a:solidFill>
              <a:srgbClr val="FFFF00"/>
            </a:solidFill>
          </a:endParaRPr>
        </a:p>
      </xdr:txBody>
    </xdr:sp>
    <xdr:clientData/>
  </xdr:twoCellAnchor>
  <xdr:twoCellAnchor>
    <xdr:from>
      <xdr:col>2</xdr:col>
      <xdr:colOff>554107</xdr:colOff>
      <xdr:row>51</xdr:row>
      <xdr:rowOff>159027</xdr:rowOff>
    </xdr:from>
    <xdr:to>
      <xdr:col>2</xdr:col>
      <xdr:colOff>933450</xdr:colOff>
      <xdr:row>54</xdr:row>
      <xdr:rowOff>104776</xdr:rowOff>
    </xdr:to>
    <xdr:sp macro="" textlink="">
      <xdr:nvSpPr>
        <xdr:cNvPr id="13" name="Triángulo isóscele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554232" y="10312677"/>
          <a:ext cx="379343" cy="431524"/>
        </a:xfrm>
        <a:prstGeom prst="triangle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592207</xdr:colOff>
      <xdr:row>43</xdr:row>
      <xdr:rowOff>57150</xdr:rowOff>
    </xdr:from>
    <xdr:to>
      <xdr:col>2</xdr:col>
      <xdr:colOff>960055</xdr:colOff>
      <xdr:row>47</xdr:row>
      <xdr:rowOff>30411</xdr:rowOff>
    </xdr:to>
    <xdr:sp macro="" textlink="">
      <xdr:nvSpPr>
        <xdr:cNvPr id="58" name="Flecha abajo 5">
          <a:extLst>
            <a:ext uri="{FF2B5EF4-FFF2-40B4-BE49-F238E27FC236}">
              <a16:creationId xmlns:a16="http://schemas.microsoft.com/office/drawing/2014/main" id="{0638335E-46AF-4C4F-83E7-2534477CA394}"/>
            </a:ext>
          </a:extLst>
        </xdr:cNvPr>
        <xdr:cNvSpPr/>
      </xdr:nvSpPr>
      <xdr:spPr>
        <a:xfrm>
          <a:off x="1592332" y="8915400"/>
          <a:ext cx="367848" cy="620961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3"/>
  <sheetViews>
    <sheetView tabSelected="1" workbookViewId="0">
      <selection activeCell="A2" sqref="A2:A3"/>
    </sheetView>
  </sheetViews>
  <sheetFormatPr baseColWidth="10" defaultColWidth="9.33203125" defaultRowHeight="12.75" x14ac:dyDescent="0.2"/>
  <cols>
    <col min="1" max="1" width="3.83203125" customWidth="1"/>
    <col min="2" max="2" width="13.6640625" customWidth="1"/>
    <col min="3" max="3" width="29.6640625" customWidth="1"/>
    <col min="4" max="4" width="18" customWidth="1"/>
    <col min="5" max="30" width="3.1640625" customWidth="1"/>
    <col min="31" max="31" width="4.83203125" customWidth="1"/>
    <col min="32" max="36" width="3.1640625" customWidth="1"/>
    <col min="37" max="37" width="4.5" customWidth="1"/>
    <col min="38" max="39" width="3.1640625" customWidth="1"/>
    <col min="40" max="40" width="4.33203125" customWidth="1"/>
    <col min="41" max="41" width="25.83203125" customWidth="1"/>
  </cols>
  <sheetData>
    <row r="1" spans="1:43" ht="46.5" customHeight="1" thickBot="1" x14ac:dyDescent="0.25">
      <c r="A1" s="66" t="s">
        <v>143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8"/>
    </row>
    <row r="2" spans="1:43" ht="41.85" customHeight="1" x14ac:dyDescent="0.2">
      <c r="A2" s="69" t="s">
        <v>0</v>
      </c>
      <c r="B2" s="61" t="s">
        <v>3</v>
      </c>
      <c r="C2" s="59" t="s">
        <v>2</v>
      </c>
      <c r="D2" s="71" t="s">
        <v>4</v>
      </c>
      <c r="E2" s="63" t="s">
        <v>129</v>
      </c>
      <c r="F2" s="64"/>
      <c r="G2" s="65"/>
      <c r="H2" s="63" t="s">
        <v>130</v>
      </c>
      <c r="I2" s="64"/>
      <c r="J2" s="65"/>
      <c r="K2" s="63" t="s">
        <v>131</v>
      </c>
      <c r="L2" s="64"/>
      <c r="M2" s="65"/>
      <c r="N2" s="63" t="s">
        <v>132</v>
      </c>
      <c r="O2" s="64"/>
      <c r="P2" s="65"/>
      <c r="Q2" s="63" t="s">
        <v>133</v>
      </c>
      <c r="R2" s="64"/>
      <c r="S2" s="65"/>
      <c r="T2" s="63" t="s">
        <v>134</v>
      </c>
      <c r="U2" s="64"/>
      <c r="V2" s="65"/>
      <c r="W2" s="63" t="s">
        <v>135</v>
      </c>
      <c r="X2" s="64"/>
      <c r="Y2" s="65"/>
      <c r="Z2" s="63" t="s">
        <v>136</v>
      </c>
      <c r="AA2" s="64"/>
      <c r="AB2" s="65"/>
      <c r="AC2" s="63" t="s">
        <v>137</v>
      </c>
      <c r="AD2" s="64"/>
      <c r="AE2" s="65"/>
      <c r="AF2" s="63" t="s">
        <v>138</v>
      </c>
      <c r="AG2" s="64"/>
      <c r="AH2" s="65"/>
      <c r="AI2" s="63" t="s">
        <v>139</v>
      </c>
      <c r="AJ2" s="64"/>
      <c r="AK2" s="65"/>
      <c r="AL2" s="63" t="s">
        <v>140</v>
      </c>
      <c r="AM2" s="64"/>
      <c r="AN2" s="65"/>
      <c r="AO2" s="4" t="s">
        <v>1</v>
      </c>
    </row>
    <row r="3" spans="1:43" ht="21.75" customHeight="1" x14ac:dyDescent="0.2">
      <c r="A3" s="70"/>
      <c r="B3" s="62"/>
      <c r="C3" s="60"/>
      <c r="D3" s="72"/>
      <c r="E3" s="1">
        <v>10</v>
      </c>
      <c r="F3" s="1">
        <v>20</v>
      </c>
      <c r="G3" s="1">
        <v>30</v>
      </c>
      <c r="H3" s="1">
        <v>10</v>
      </c>
      <c r="I3" s="1">
        <v>20</v>
      </c>
      <c r="J3" s="1">
        <v>30</v>
      </c>
      <c r="K3" s="1">
        <v>10</v>
      </c>
      <c r="L3" s="1">
        <v>20</v>
      </c>
      <c r="M3" s="1">
        <v>30</v>
      </c>
      <c r="N3" s="1">
        <v>10</v>
      </c>
      <c r="O3" s="1">
        <v>20</v>
      </c>
      <c r="P3" s="1">
        <v>30</v>
      </c>
      <c r="Q3" s="1">
        <v>10</v>
      </c>
      <c r="R3" s="1">
        <v>20</v>
      </c>
      <c r="S3" s="1">
        <v>30</v>
      </c>
      <c r="T3" s="1">
        <v>10</v>
      </c>
      <c r="U3" s="1">
        <v>20</v>
      </c>
      <c r="V3" s="1">
        <v>30</v>
      </c>
      <c r="W3" s="1">
        <v>10</v>
      </c>
      <c r="X3" s="1">
        <v>20</v>
      </c>
      <c r="Y3" s="1">
        <v>30</v>
      </c>
      <c r="Z3" s="1">
        <v>10</v>
      </c>
      <c r="AA3" s="1">
        <v>20</v>
      </c>
      <c r="AB3" s="1">
        <v>30</v>
      </c>
      <c r="AC3" s="1">
        <v>10</v>
      </c>
      <c r="AD3" s="1">
        <v>20</v>
      </c>
      <c r="AE3" s="1">
        <v>30</v>
      </c>
      <c r="AF3" s="1">
        <v>10</v>
      </c>
      <c r="AG3" s="1">
        <v>20</v>
      </c>
      <c r="AH3" s="1">
        <v>30</v>
      </c>
      <c r="AI3" s="1">
        <v>10</v>
      </c>
      <c r="AJ3" s="1">
        <v>20</v>
      </c>
      <c r="AK3" s="1">
        <v>30</v>
      </c>
      <c r="AL3" s="1">
        <v>10</v>
      </c>
      <c r="AM3" s="1">
        <v>20</v>
      </c>
      <c r="AN3" s="1">
        <v>30</v>
      </c>
      <c r="AO3" s="2"/>
    </row>
    <row r="4" spans="1:43" ht="14.25" customHeight="1" x14ac:dyDescent="0.2">
      <c r="A4" s="17">
        <v>1</v>
      </c>
      <c r="B4" s="52" t="s">
        <v>53</v>
      </c>
      <c r="C4" s="20" t="s">
        <v>128</v>
      </c>
      <c r="D4" s="40" t="s">
        <v>66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2">
        <v>5</v>
      </c>
      <c r="Y4" s="32">
        <v>10</v>
      </c>
      <c r="Z4" s="32">
        <v>10</v>
      </c>
      <c r="AA4" s="32">
        <v>5</v>
      </c>
      <c r="AB4" s="11"/>
      <c r="AC4" s="11"/>
      <c r="AD4" s="11"/>
      <c r="AE4" s="11"/>
      <c r="AF4" s="11"/>
      <c r="AG4" s="11"/>
      <c r="AH4" s="3"/>
      <c r="AI4" s="3"/>
      <c r="AJ4" s="3"/>
      <c r="AK4" s="3"/>
      <c r="AL4" s="3"/>
      <c r="AM4" s="3"/>
      <c r="AN4" s="3"/>
      <c r="AO4" s="13" t="s">
        <v>77</v>
      </c>
    </row>
    <row r="5" spans="1:43" ht="14.25" customHeight="1" x14ac:dyDescent="0.2">
      <c r="A5" s="17">
        <v>2</v>
      </c>
      <c r="B5" s="51" t="s">
        <v>79</v>
      </c>
      <c r="C5" s="14" t="s">
        <v>99</v>
      </c>
      <c r="D5" s="20" t="s">
        <v>78</v>
      </c>
      <c r="E5" s="3"/>
      <c r="F5" s="3"/>
      <c r="G5" s="3"/>
      <c r="H5" s="3"/>
      <c r="I5" s="3"/>
      <c r="J5" s="3"/>
      <c r="K5" s="3"/>
      <c r="L5" s="3"/>
      <c r="M5" s="28">
        <v>4</v>
      </c>
      <c r="N5" s="28">
        <v>8</v>
      </c>
      <c r="O5" s="28">
        <v>8</v>
      </c>
      <c r="P5" s="28">
        <v>4</v>
      </c>
      <c r="Q5" s="3"/>
      <c r="R5" s="3"/>
      <c r="S5" s="3"/>
      <c r="T5" s="3"/>
      <c r="U5" s="3"/>
      <c r="V5" s="3"/>
      <c r="W5" s="3"/>
      <c r="X5" s="3"/>
      <c r="Y5" s="3"/>
      <c r="Z5" s="12"/>
      <c r="AA5" s="12"/>
      <c r="AB5" s="11"/>
      <c r="AC5" s="11"/>
      <c r="AD5" s="11"/>
      <c r="AE5" s="11"/>
      <c r="AF5" s="11"/>
      <c r="AG5" s="11"/>
      <c r="AH5" s="3"/>
      <c r="AI5" s="3"/>
      <c r="AJ5" s="3"/>
      <c r="AK5" s="3"/>
      <c r="AL5" s="3"/>
      <c r="AM5" s="3"/>
      <c r="AN5" s="3"/>
      <c r="AO5" s="13" t="s">
        <v>77</v>
      </c>
    </row>
    <row r="6" spans="1:43" ht="14.25" customHeight="1" x14ac:dyDescent="0.2">
      <c r="A6" s="17">
        <v>3</v>
      </c>
      <c r="B6" s="52" t="s">
        <v>52</v>
      </c>
      <c r="C6" s="14" t="s">
        <v>100</v>
      </c>
      <c r="D6" s="40" t="s">
        <v>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24">
        <v>1</v>
      </c>
      <c r="AA6" s="24">
        <v>8</v>
      </c>
      <c r="AB6" s="33">
        <v>8</v>
      </c>
      <c r="AC6" s="33">
        <v>1</v>
      </c>
      <c r="AD6" s="11"/>
      <c r="AE6" s="11"/>
      <c r="AF6" s="11"/>
      <c r="AG6" s="11"/>
      <c r="AH6" s="3"/>
      <c r="AI6" s="3"/>
      <c r="AJ6" s="3"/>
      <c r="AK6" s="3"/>
      <c r="AL6" s="3"/>
      <c r="AM6" s="3"/>
      <c r="AN6" s="3"/>
      <c r="AO6" s="13" t="s">
        <v>77</v>
      </c>
    </row>
    <row r="7" spans="1:43" ht="14.25" customHeight="1" x14ac:dyDescent="0.2">
      <c r="A7" s="17">
        <v>4</v>
      </c>
      <c r="B7" s="52" t="s">
        <v>53</v>
      </c>
      <c r="C7" s="14" t="s">
        <v>101</v>
      </c>
      <c r="D7" s="40" t="s">
        <v>81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27">
        <v>1</v>
      </c>
      <c r="X7" s="27">
        <v>2</v>
      </c>
      <c r="Y7" s="27">
        <v>2</v>
      </c>
      <c r="Z7" s="27">
        <v>1</v>
      </c>
      <c r="AA7" s="12"/>
      <c r="AB7" s="11"/>
      <c r="AC7" s="11"/>
      <c r="AD7" s="11"/>
      <c r="AE7" s="11"/>
      <c r="AF7" s="11"/>
      <c r="AG7" s="11"/>
      <c r="AH7" s="3"/>
      <c r="AI7" s="3"/>
      <c r="AJ7" s="3"/>
      <c r="AK7" s="3"/>
      <c r="AL7" s="3"/>
      <c r="AM7" s="3"/>
      <c r="AN7" s="3"/>
      <c r="AO7" s="13" t="s">
        <v>77</v>
      </c>
    </row>
    <row r="8" spans="1:43" ht="14.25" customHeight="1" x14ac:dyDescent="0.2">
      <c r="A8" s="17">
        <v>5</v>
      </c>
      <c r="B8" s="52" t="s">
        <v>52</v>
      </c>
      <c r="C8" s="14" t="s">
        <v>141</v>
      </c>
      <c r="D8" s="40" t="s">
        <v>142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4">
        <v>1</v>
      </c>
      <c r="X8" s="34">
        <v>5</v>
      </c>
      <c r="Y8" s="34">
        <v>10</v>
      </c>
      <c r="Z8" s="34">
        <v>10</v>
      </c>
      <c r="AA8" s="34">
        <v>5</v>
      </c>
      <c r="AB8" s="35">
        <v>1</v>
      </c>
      <c r="AC8" s="11"/>
      <c r="AD8" s="11"/>
      <c r="AE8" s="11"/>
      <c r="AF8" s="11"/>
      <c r="AG8" s="11"/>
      <c r="AH8" s="3"/>
      <c r="AI8" s="3"/>
      <c r="AJ8" s="3"/>
      <c r="AK8" s="3"/>
      <c r="AL8" s="3"/>
      <c r="AM8" s="3"/>
      <c r="AN8" s="3"/>
      <c r="AO8" s="13" t="s">
        <v>102</v>
      </c>
    </row>
    <row r="9" spans="1:43" ht="14.25" customHeight="1" x14ac:dyDescent="0.2">
      <c r="A9" s="17">
        <v>6</v>
      </c>
      <c r="B9" s="52" t="s">
        <v>53</v>
      </c>
      <c r="C9" s="14" t="s">
        <v>71</v>
      </c>
      <c r="D9" s="14" t="s">
        <v>60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12"/>
      <c r="X9" s="12"/>
      <c r="Y9" s="36">
        <v>1</v>
      </c>
      <c r="Z9" s="36">
        <v>2</v>
      </c>
      <c r="AA9" s="36">
        <v>4</v>
      </c>
      <c r="AB9" s="37">
        <v>4</v>
      </c>
      <c r="AC9" s="37">
        <v>2</v>
      </c>
      <c r="AD9" s="37">
        <v>1</v>
      </c>
      <c r="AE9" s="11"/>
      <c r="AF9" s="11"/>
      <c r="AG9" s="11"/>
      <c r="AH9" s="3"/>
      <c r="AI9" s="3"/>
      <c r="AJ9" s="3"/>
      <c r="AK9" s="3"/>
      <c r="AL9" s="3"/>
      <c r="AM9" s="3"/>
      <c r="AN9" s="3"/>
      <c r="AO9" s="13" t="s">
        <v>75</v>
      </c>
    </row>
    <row r="10" spans="1:43" ht="14.25" customHeight="1" x14ac:dyDescent="0.2">
      <c r="A10" s="17">
        <v>7</v>
      </c>
      <c r="B10" s="52" t="s">
        <v>53</v>
      </c>
      <c r="C10" s="14" t="s">
        <v>69</v>
      </c>
      <c r="D10" s="14" t="s">
        <v>62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12"/>
      <c r="X10" s="12"/>
      <c r="Y10" s="12"/>
      <c r="Z10" s="12"/>
      <c r="AA10" s="12"/>
      <c r="AB10" s="11"/>
      <c r="AC10" s="11"/>
      <c r="AD10" s="11"/>
      <c r="AE10" s="11"/>
      <c r="AF10" s="11"/>
      <c r="AG10" s="11"/>
      <c r="AH10" s="3"/>
      <c r="AI10" s="3"/>
      <c r="AJ10" s="23">
        <v>1</v>
      </c>
      <c r="AK10" s="23">
        <v>3</v>
      </c>
      <c r="AL10" s="23">
        <v>5</v>
      </c>
      <c r="AM10" s="23">
        <v>3</v>
      </c>
      <c r="AN10" s="23">
        <v>1</v>
      </c>
      <c r="AO10" s="13" t="s">
        <v>75</v>
      </c>
      <c r="AP10" t="s">
        <v>126</v>
      </c>
      <c r="AQ10" t="s">
        <v>127</v>
      </c>
    </row>
    <row r="11" spans="1:43" ht="14.25" customHeight="1" x14ac:dyDescent="0.2">
      <c r="A11" s="17">
        <v>8</v>
      </c>
      <c r="B11" s="52" t="s">
        <v>53</v>
      </c>
      <c r="C11" s="29" t="s">
        <v>51</v>
      </c>
      <c r="D11" s="14" t="s">
        <v>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49">
        <v>1</v>
      </c>
      <c r="V11" s="49">
        <v>3</v>
      </c>
      <c r="W11" s="49">
        <v>5</v>
      </c>
      <c r="X11" s="49">
        <v>10</v>
      </c>
      <c r="Y11" s="49">
        <v>5</v>
      </c>
      <c r="Z11" s="49">
        <v>3</v>
      </c>
      <c r="AA11" s="49">
        <v>1</v>
      </c>
      <c r="AB11" s="50">
        <v>1</v>
      </c>
      <c r="AC11" s="11"/>
      <c r="AD11" s="11"/>
      <c r="AE11" s="11"/>
      <c r="AF11" s="11"/>
      <c r="AG11" s="11"/>
      <c r="AH11" s="3"/>
      <c r="AI11" s="3"/>
      <c r="AJ11" s="3"/>
      <c r="AK11" s="3"/>
      <c r="AL11" s="3"/>
      <c r="AM11" s="3"/>
      <c r="AN11" s="3"/>
      <c r="AO11" s="13" t="s">
        <v>77</v>
      </c>
    </row>
    <row r="12" spans="1:43" ht="14.25" customHeight="1" x14ac:dyDescent="0.2">
      <c r="A12" s="17">
        <v>9</v>
      </c>
      <c r="B12" s="52" t="s">
        <v>53</v>
      </c>
      <c r="C12" s="29" t="s">
        <v>54</v>
      </c>
      <c r="D12" s="14" t="s">
        <v>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19">
        <v>1</v>
      </c>
      <c r="X12" s="19">
        <v>1</v>
      </c>
      <c r="Y12" s="19">
        <v>2</v>
      </c>
      <c r="Z12" s="19">
        <v>4</v>
      </c>
      <c r="AA12" s="19">
        <v>2</v>
      </c>
      <c r="AB12" s="38">
        <v>1</v>
      </c>
      <c r="AC12" s="11"/>
      <c r="AD12" s="11"/>
      <c r="AE12" s="11"/>
      <c r="AF12" s="11"/>
      <c r="AG12" s="11"/>
      <c r="AH12" s="3"/>
      <c r="AI12" s="3"/>
      <c r="AJ12" s="3"/>
      <c r="AK12" s="3"/>
      <c r="AL12" s="3"/>
      <c r="AM12" s="3"/>
      <c r="AN12" s="3"/>
      <c r="AO12" s="13" t="s">
        <v>104</v>
      </c>
    </row>
    <row r="13" spans="1:43" ht="14.25" customHeight="1" x14ac:dyDescent="0.2">
      <c r="A13" s="17">
        <v>10</v>
      </c>
      <c r="B13" s="52" t="s">
        <v>52</v>
      </c>
      <c r="C13" s="14" t="s">
        <v>103</v>
      </c>
      <c r="D13" s="40" t="s">
        <v>82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5">
        <v>2</v>
      </c>
      <c r="Z13" s="25">
        <v>4</v>
      </c>
      <c r="AA13" s="25">
        <v>8</v>
      </c>
      <c r="AB13" s="39">
        <v>8</v>
      </c>
      <c r="AC13" s="39">
        <v>4</v>
      </c>
      <c r="AD13" s="39">
        <v>2</v>
      </c>
      <c r="AE13" s="11"/>
      <c r="AF13" s="11"/>
      <c r="AG13" s="11"/>
      <c r="AH13" s="3"/>
      <c r="AI13" s="3"/>
      <c r="AJ13" s="3"/>
      <c r="AK13" s="3"/>
      <c r="AL13" s="3"/>
      <c r="AM13" s="3"/>
      <c r="AN13" s="3"/>
      <c r="AO13" s="13" t="s">
        <v>77</v>
      </c>
    </row>
    <row r="14" spans="1:43" ht="14.25" customHeight="1" x14ac:dyDescent="0.2">
      <c r="A14" s="17">
        <v>11</v>
      </c>
      <c r="B14" s="52" t="s">
        <v>53</v>
      </c>
      <c r="C14" s="14" t="s">
        <v>105</v>
      </c>
      <c r="D14" s="40" t="s">
        <v>83</v>
      </c>
      <c r="E14" s="21">
        <v>6</v>
      </c>
      <c r="F14" s="21">
        <v>4</v>
      </c>
      <c r="G14" s="21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12"/>
      <c r="AA14" s="12"/>
      <c r="AB14" s="11"/>
      <c r="AC14" s="11"/>
      <c r="AD14" s="11"/>
      <c r="AE14" s="11"/>
      <c r="AF14" s="11"/>
      <c r="AG14" s="11"/>
      <c r="AH14" s="3"/>
      <c r="AI14" s="3"/>
      <c r="AJ14" s="3"/>
      <c r="AK14" s="3"/>
      <c r="AL14" s="21">
        <v>1</v>
      </c>
      <c r="AM14" s="21">
        <v>3</v>
      </c>
      <c r="AN14" s="21">
        <v>6</v>
      </c>
      <c r="AO14" s="13" t="s">
        <v>77</v>
      </c>
    </row>
    <row r="15" spans="1:43" ht="14.25" customHeight="1" x14ac:dyDescent="0.2">
      <c r="A15" s="17">
        <v>12</v>
      </c>
      <c r="B15" s="52" t="s">
        <v>53</v>
      </c>
      <c r="C15" s="14" t="s">
        <v>106</v>
      </c>
      <c r="D15" s="40" t="s">
        <v>84</v>
      </c>
      <c r="E15" s="41">
        <v>6</v>
      </c>
      <c r="F15" s="41">
        <v>3</v>
      </c>
      <c r="G15" s="3"/>
      <c r="H15" s="3"/>
      <c r="I15" s="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41">
        <v>3</v>
      </c>
      <c r="AN15" s="41">
        <v>6</v>
      </c>
      <c r="AO15" s="13" t="s">
        <v>77</v>
      </c>
    </row>
    <row r="16" spans="1:43" ht="14.25" customHeight="1" x14ac:dyDescent="0.2">
      <c r="A16" s="17">
        <v>13</v>
      </c>
      <c r="B16" s="52" t="s">
        <v>53</v>
      </c>
      <c r="C16" s="14" t="s">
        <v>107</v>
      </c>
      <c r="D16" s="14" t="s">
        <v>85</v>
      </c>
      <c r="E16" s="3"/>
      <c r="F16" s="3"/>
      <c r="G16" s="3"/>
      <c r="H16" s="3"/>
      <c r="I16" s="3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8">
        <v>1</v>
      </c>
      <c r="Z16" s="18">
        <v>4</v>
      </c>
      <c r="AA16" s="18">
        <v>8</v>
      </c>
      <c r="AB16" s="18">
        <v>4</v>
      </c>
      <c r="AC16" s="18">
        <v>1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3"/>
      <c r="AN16" s="3"/>
      <c r="AO16" s="13" t="s">
        <v>102</v>
      </c>
    </row>
    <row r="17" spans="1:41" ht="14.25" customHeight="1" x14ac:dyDescent="0.2">
      <c r="A17" s="17">
        <v>14</v>
      </c>
      <c r="B17" s="52" t="s">
        <v>52</v>
      </c>
      <c r="C17" s="14" t="s">
        <v>108</v>
      </c>
      <c r="D17" s="40" t="s">
        <v>72</v>
      </c>
      <c r="E17" s="3"/>
      <c r="F17" s="3"/>
      <c r="G17" s="3"/>
      <c r="H17" s="3"/>
      <c r="I17" s="3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20"/>
      <c r="Z17" s="20"/>
      <c r="AA17" s="20"/>
      <c r="AB17" s="31">
        <v>1</v>
      </c>
      <c r="AC17" s="31">
        <v>3</v>
      </c>
      <c r="AD17" s="22">
        <v>6</v>
      </c>
      <c r="AE17" s="22">
        <v>3</v>
      </c>
      <c r="AF17" s="22">
        <v>1</v>
      </c>
      <c r="AG17" s="12"/>
      <c r="AH17" s="12"/>
      <c r="AI17" s="12"/>
      <c r="AJ17" s="12"/>
      <c r="AK17" s="12"/>
      <c r="AL17" s="12"/>
      <c r="AM17" s="3"/>
      <c r="AN17" s="3"/>
      <c r="AO17" s="13" t="s">
        <v>77</v>
      </c>
    </row>
    <row r="18" spans="1:41" ht="14.25" customHeight="1" x14ac:dyDescent="0.2">
      <c r="A18" s="17">
        <v>15</v>
      </c>
      <c r="B18" s="52" t="s">
        <v>53</v>
      </c>
      <c r="C18" s="14" t="s">
        <v>109</v>
      </c>
      <c r="D18" s="14" t="s">
        <v>56</v>
      </c>
      <c r="E18" s="3"/>
      <c r="F18" s="3"/>
      <c r="G18" s="3"/>
      <c r="H18" s="3"/>
      <c r="I18" s="3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44">
        <v>1</v>
      </c>
      <c r="AD18" s="44">
        <v>3</v>
      </c>
      <c r="AE18" s="44">
        <v>5</v>
      </c>
      <c r="AF18" s="44">
        <v>9</v>
      </c>
      <c r="AG18" s="44">
        <v>5</v>
      </c>
      <c r="AH18" s="44">
        <v>3</v>
      </c>
      <c r="AI18" s="44">
        <v>1</v>
      </c>
      <c r="AJ18" s="12"/>
      <c r="AK18" s="12"/>
      <c r="AL18" s="12"/>
      <c r="AM18" s="3"/>
      <c r="AN18" s="3"/>
      <c r="AO18" s="13" t="s">
        <v>77</v>
      </c>
    </row>
    <row r="19" spans="1:41" ht="14.25" customHeight="1" x14ac:dyDescent="0.2">
      <c r="A19" s="17">
        <v>16</v>
      </c>
      <c r="B19" s="51" t="s">
        <v>52</v>
      </c>
      <c r="C19" s="14" t="s">
        <v>110</v>
      </c>
      <c r="D19" s="20" t="s">
        <v>86</v>
      </c>
      <c r="E19" s="3"/>
      <c r="F19" s="3"/>
      <c r="G19" s="3"/>
      <c r="H19" s="3"/>
      <c r="I19" s="3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5">
        <v>1</v>
      </c>
      <c r="W19" s="15">
        <v>2</v>
      </c>
      <c r="X19" s="15">
        <v>4</v>
      </c>
      <c r="Y19" s="15">
        <v>4</v>
      </c>
      <c r="Z19" s="15">
        <v>2</v>
      </c>
      <c r="AA19" s="15">
        <v>1</v>
      </c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3"/>
      <c r="AN19" s="3"/>
      <c r="AO19" s="13" t="s">
        <v>102</v>
      </c>
    </row>
    <row r="20" spans="1:41" ht="14.25" customHeight="1" x14ac:dyDescent="0.2">
      <c r="A20" s="17">
        <v>17</v>
      </c>
      <c r="B20" s="51" t="s">
        <v>53</v>
      </c>
      <c r="C20" s="14" t="s">
        <v>111</v>
      </c>
      <c r="D20" s="20" t="s">
        <v>87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26">
        <v>1</v>
      </c>
      <c r="AD20" s="26">
        <v>3</v>
      </c>
      <c r="AE20" s="26">
        <v>6</v>
      </c>
      <c r="AF20" s="26">
        <v>6</v>
      </c>
      <c r="AG20" s="26">
        <v>3</v>
      </c>
      <c r="AH20" s="26">
        <v>1</v>
      </c>
      <c r="AI20" s="12"/>
      <c r="AJ20" s="12"/>
      <c r="AK20" s="12"/>
      <c r="AL20" s="12"/>
      <c r="AM20" s="12"/>
      <c r="AN20" s="12"/>
      <c r="AO20" s="42" t="s">
        <v>77</v>
      </c>
    </row>
    <row r="21" spans="1:41" ht="14.25" customHeight="1" x14ac:dyDescent="0.2">
      <c r="A21" s="17">
        <v>18</v>
      </c>
      <c r="B21" s="52" t="s">
        <v>52</v>
      </c>
      <c r="C21" s="14" t="s">
        <v>112</v>
      </c>
      <c r="D21" s="40" t="s">
        <v>67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21">
        <v>1</v>
      </c>
      <c r="AD21" s="21">
        <v>3</v>
      </c>
      <c r="AE21" s="21">
        <v>1</v>
      </c>
      <c r="AF21" s="12"/>
      <c r="AG21" s="12"/>
      <c r="AH21" s="12"/>
      <c r="AI21" s="12"/>
      <c r="AJ21" s="12"/>
      <c r="AK21" s="12"/>
      <c r="AL21" s="12"/>
      <c r="AM21" s="12"/>
      <c r="AN21" s="12"/>
      <c r="AO21" s="42" t="s">
        <v>77</v>
      </c>
    </row>
    <row r="22" spans="1:41" ht="14.25" customHeight="1" x14ac:dyDescent="0.2">
      <c r="A22" s="17">
        <v>19</v>
      </c>
      <c r="B22" s="52" t="s">
        <v>53</v>
      </c>
      <c r="C22" s="14" t="s">
        <v>70</v>
      </c>
      <c r="D22" s="40" t="s">
        <v>65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43"/>
      <c r="AA22" s="43"/>
      <c r="AB22" s="43"/>
      <c r="AC22" s="12"/>
      <c r="AD22" s="12"/>
      <c r="AE22" s="22">
        <v>1</v>
      </c>
      <c r="AF22" s="22">
        <v>3</v>
      </c>
      <c r="AG22" s="22">
        <v>5</v>
      </c>
      <c r="AH22" s="22">
        <v>10</v>
      </c>
      <c r="AI22" s="22">
        <v>5</v>
      </c>
      <c r="AJ22" s="22">
        <v>3</v>
      </c>
      <c r="AK22" s="22">
        <v>1</v>
      </c>
      <c r="AL22" s="12"/>
      <c r="AM22" s="12"/>
      <c r="AN22" s="12"/>
      <c r="AO22" s="42" t="s">
        <v>77</v>
      </c>
    </row>
    <row r="23" spans="1:41" ht="14.25" customHeight="1" x14ac:dyDescent="0.2">
      <c r="A23" s="17">
        <v>20</v>
      </c>
      <c r="B23" s="52" t="s">
        <v>53</v>
      </c>
      <c r="C23" s="14" t="s">
        <v>113</v>
      </c>
      <c r="D23" s="14" t="s">
        <v>61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24">
        <v>1</v>
      </c>
      <c r="AA23" s="24">
        <v>3</v>
      </c>
      <c r="AB23" s="24">
        <v>5</v>
      </c>
      <c r="AC23" s="24">
        <v>7</v>
      </c>
      <c r="AD23" s="24">
        <v>9</v>
      </c>
      <c r="AE23" s="24">
        <v>7</v>
      </c>
      <c r="AF23" s="24">
        <v>5</v>
      </c>
      <c r="AG23" s="24">
        <v>3</v>
      </c>
      <c r="AH23" s="24">
        <v>1</v>
      </c>
      <c r="AI23" s="12"/>
      <c r="AJ23" s="12"/>
      <c r="AK23" s="12"/>
      <c r="AL23" s="12"/>
      <c r="AM23" s="12"/>
      <c r="AN23" s="12"/>
      <c r="AO23" s="42" t="s">
        <v>77</v>
      </c>
    </row>
    <row r="24" spans="1:41" ht="14.25" customHeight="1" x14ac:dyDescent="0.2">
      <c r="A24" s="17">
        <v>21</v>
      </c>
      <c r="B24" s="51" t="s">
        <v>53</v>
      </c>
      <c r="C24" s="14" t="s">
        <v>114</v>
      </c>
      <c r="D24" s="14" t="s">
        <v>88</v>
      </c>
      <c r="E24" s="3"/>
      <c r="F24" s="3"/>
      <c r="G24" s="3"/>
      <c r="H24" s="3"/>
      <c r="I24" s="3"/>
      <c r="J24" s="3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3"/>
      <c r="Y24" s="3"/>
      <c r="Z24" s="12"/>
      <c r="AA24" s="12"/>
      <c r="AB24" s="15">
        <v>1</v>
      </c>
      <c r="AC24" s="15">
        <v>1</v>
      </c>
      <c r="AD24" s="15">
        <v>3</v>
      </c>
      <c r="AE24" s="15">
        <v>6</v>
      </c>
      <c r="AF24" s="15">
        <v>3</v>
      </c>
      <c r="AG24" s="15">
        <v>1</v>
      </c>
      <c r="AH24" s="15">
        <v>1</v>
      </c>
      <c r="AI24" s="12"/>
      <c r="AJ24" s="12"/>
      <c r="AK24" s="3"/>
      <c r="AL24" s="3"/>
      <c r="AM24" s="3"/>
      <c r="AN24" s="3"/>
      <c r="AO24" s="13" t="s">
        <v>77</v>
      </c>
    </row>
    <row r="25" spans="1:41" ht="14.25" customHeight="1" x14ac:dyDescent="0.2">
      <c r="A25" s="17">
        <v>22</v>
      </c>
      <c r="B25" s="51" t="s">
        <v>53</v>
      </c>
      <c r="C25" s="14" t="s">
        <v>115</v>
      </c>
      <c r="D25" s="14" t="s">
        <v>89</v>
      </c>
      <c r="E25" s="3"/>
      <c r="F25" s="3"/>
      <c r="G25" s="3"/>
      <c r="H25" s="3"/>
      <c r="I25" s="3"/>
      <c r="J25" s="3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3"/>
      <c r="Z25" s="12"/>
      <c r="AA25" s="12"/>
      <c r="AB25" s="12"/>
      <c r="AC25" s="12"/>
      <c r="AD25" s="12"/>
      <c r="AE25" s="12"/>
      <c r="AF25" s="18">
        <v>1</v>
      </c>
      <c r="AG25" s="18">
        <v>3</v>
      </c>
      <c r="AH25" s="18">
        <v>5</v>
      </c>
      <c r="AI25" s="18">
        <v>5</v>
      </c>
      <c r="AJ25" s="18">
        <v>3</v>
      </c>
      <c r="AK25" s="18">
        <v>1</v>
      </c>
      <c r="AL25" s="3"/>
      <c r="AM25" s="3"/>
      <c r="AN25" s="3"/>
      <c r="AO25" s="13" t="s">
        <v>77</v>
      </c>
    </row>
    <row r="26" spans="1:41" ht="14.25" customHeight="1" x14ac:dyDescent="0.2">
      <c r="A26" s="17">
        <v>23</v>
      </c>
      <c r="B26" s="51" t="s">
        <v>53</v>
      </c>
      <c r="C26" s="14" t="s">
        <v>116</v>
      </c>
      <c r="D26" s="14" t="s">
        <v>90</v>
      </c>
      <c r="E26" s="3"/>
      <c r="F26" s="3"/>
      <c r="G26" s="3"/>
      <c r="H26" s="3"/>
      <c r="I26" s="3"/>
      <c r="J26" s="3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3"/>
      <c r="Z26" s="12"/>
      <c r="AA26" s="12"/>
      <c r="AB26" s="12"/>
      <c r="AC26" s="45">
        <v>1</v>
      </c>
      <c r="AD26" s="45">
        <v>3</v>
      </c>
      <c r="AE26" s="45">
        <v>5</v>
      </c>
      <c r="AF26" s="45">
        <v>9</v>
      </c>
      <c r="AG26" s="45">
        <v>5</v>
      </c>
      <c r="AH26" s="45">
        <v>3</v>
      </c>
      <c r="AI26" s="45">
        <v>1</v>
      </c>
      <c r="AJ26" s="12"/>
      <c r="AK26" s="3"/>
      <c r="AL26" s="3"/>
      <c r="AM26" s="3"/>
      <c r="AN26" s="3"/>
      <c r="AO26" s="13" t="s">
        <v>77</v>
      </c>
    </row>
    <row r="27" spans="1:41" ht="14.25" customHeight="1" x14ac:dyDescent="0.2">
      <c r="A27" s="17">
        <v>24</v>
      </c>
      <c r="B27" s="51" t="s">
        <v>53</v>
      </c>
      <c r="C27" s="14" t="s">
        <v>117</v>
      </c>
      <c r="D27" s="14" t="s">
        <v>91</v>
      </c>
      <c r="E27" s="41">
        <v>3</v>
      </c>
      <c r="F27" s="41">
        <v>2</v>
      </c>
      <c r="G27" s="41">
        <v>1</v>
      </c>
      <c r="H27" s="3"/>
      <c r="I27" s="3"/>
      <c r="J27" s="3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3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3"/>
      <c r="AL27" s="41">
        <v>1</v>
      </c>
      <c r="AM27" s="41">
        <v>2</v>
      </c>
      <c r="AN27" s="41">
        <v>3</v>
      </c>
      <c r="AO27" s="13" t="s">
        <v>77</v>
      </c>
    </row>
    <row r="28" spans="1:41" ht="14.25" customHeight="1" x14ac:dyDescent="0.2">
      <c r="A28" s="17">
        <v>25</v>
      </c>
      <c r="B28" s="52" t="s">
        <v>53</v>
      </c>
      <c r="C28" s="14" t="s">
        <v>68</v>
      </c>
      <c r="D28" s="40" t="s">
        <v>55</v>
      </c>
      <c r="E28" s="44">
        <v>5</v>
      </c>
      <c r="F28" s="44">
        <v>3</v>
      </c>
      <c r="G28" s="44">
        <v>1</v>
      </c>
      <c r="H28" s="3"/>
      <c r="I28" s="3"/>
      <c r="J28" s="3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3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44">
        <v>1</v>
      </c>
      <c r="AL28" s="44">
        <v>3</v>
      </c>
      <c r="AM28" s="44">
        <v>5</v>
      </c>
      <c r="AN28" s="44">
        <v>9</v>
      </c>
      <c r="AO28" s="13" t="s">
        <v>77</v>
      </c>
    </row>
    <row r="29" spans="1:41" ht="14.25" customHeight="1" x14ac:dyDescent="0.2">
      <c r="A29" s="17">
        <v>26</v>
      </c>
      <c r="B29" s="51" t="s">
        <v>52</v>
      </c>
      <c r="C29" s="14" t="s">
        <v>118</v>
      </c>
      <c r="D29" s="14" t="s">
        <v>92</v>
      </c>
      <c r="E29" s="3"/>
      <c r="F29" s="3"/>
      <c r="G29" s="3"/>
      <c r="H29" s="3"/>
      <c r="I29" s="3"/>
      <c r="J29" s="3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3"/>
      <c r="Z29" s="12"/>
      <c r="AA29" s="12"/>
      <c r="AB29" s="12"/>
      <c r="AC29" s="12"/>
      <c r="AD29" s="12"/>
      <c r="AE29" s="12"/>
      <c r="AF29" s="15">
        <v>3</v>
      </c>
      <c r="AG29" s="15">
        <v>5</v>
      </c>
      <c r="AH29" s="15">
        <v>7</v>
      </c>
      <c r="AI29" s="15">
        <v>9</v>
      </c>
      <c r="AJ29" s="15">
        <v>7</v>
      </c>
      <c r="AK29" s="15">
        <v>5</v>
      </c>
      <c r="AL29" s="15">
        <v>3</v>
      </c>
      <c r="AM29" s="3"/>
      <c r="AN29" s="3"/>
      <c r="AO29" s="13" t="s">
        <v>77</v>
      </c>
    </row>
    <row r="30" spans="1:41" ht="14.25" customHeight="1" x14ac:dyDescent="0.2">
      <c r="A30" s="17">
        <v>27</v>
      </c>
      <c r="B30" s="51" t="s">
        <v>53</v>
      </c>
      <c r="C30" s="14" t="s">
        <v>74</v>
      </c>
      <c r="D30" s="14" t="s">
        <v>73</v>
      </c>
      <c r="E30" s="3"/>
      <c r="F30" s="3"/>
      <c r="G30" s="3"/>
      <c r="H30" s="3"/>
      <c r="I30" s="3"/>
      <c r="J30" s="3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23">
        <v>1</v>
      </c>
      <c r="AJ30" s="23">
        <v>3</v>
      </c>
      <c r="AK30" s="23">
        <v>5</v>
      </c>
      <c r="AL30" s="23">
        <v>9</v>
      </c>
      <c r="AM30" s="23">
        <v>5</v>
      </c>
      <c r="AN30" s="23">
        <v>3</v>
      </c>
      <c r="AO30" s="42" t="s">
        <v>77</v>
      </c>
    </row>
    <row r="31" spans="1:41" ht="14.25" customHeight="1" x14ac:dyDescent="0.2">
      <c r="A31" s="17">
        <v>28</v>
      </c>
      <c r="B31" s="51" t="s">
        <v>52</v>
      </c>
      <c r="C31" s="14" t="s">
        <v>119</v>
      </c>
      <c r="D31" s="14" t="s">
        <v>93</v>
      </c>
      <c r="E31" s="3"/>
      <c r="F31" s="3"/>
      <c r="G31" s="3"/>
      <c r="H31" s="3"/>
      <c r="I31" s="3"/>
      <c r="J31" s="3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46">
        <v>1</v>
      </c>
      <c r="AD31" s="46">
        <v>5</v>
      </c>
      <c r="AE31" s="46">
        <v>10</v>
      </c>
      <c r="AF31" s="46">
        <v>10</v>
      </c>
      <c r="AG31" s="46">
        <v>5</v>
      </c>
      <c r="AH31" s="46">
        <v>1</v>
      </c>
      <c r="AI31" s="12"/>
      <c r="AJ31" s="12"/>
      <c r="AK31" s="12"/>
      <c r="AL31" s="12"/>
      <c r="AM31" s="12"/>
      <c r="AN31" s="12"/>
      <c r="AO31" s="42" t="s">
        <v>77</v>
      </c>
    </row>
    <row r="32" spans="1:41" ht="14.25" customHeight="1" x14ac:dyDescent="0.2">
      <c r="A32" s="17">
        <v>29</v>
      </c>
      <c r="B32" s="51" t="s">
        <v>52</v>
      </c>
      <c r="C32" s="14" t="s">
        <v>120</v>
      </c>
      <c r="D32" s="14" t="s">
        <v>94</v>
      </c>
      <c r="E32" s="3"/>
      <c r="F32" s="3"/>
      <c r="G32" s="3"/>
      <c r="H32" s="3"/>
      <c r="I32" s="3"/>
      <c r="J32" s="3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41">
        <v>1</v>
      </c>
      <c r="AJ32" s="41">
        <v>2</v>
      </c>
      <c r="AK32" s="41">
        <v>4</v>
      </c>
      <c r="AL32" s="41">
        <v>8</v>
      </c>
      <c r="AM32" s="41">
        <v>4</v>
      </c>
      <c r="AN32" s="41">
        <v>2</v>
      </c>
      <c r="AO32" s="42" t="s">
        <v>77</v>
      </c>
    </row>
    <row r="33" spans="1:41" ht="14.25" customHeight="1" x14ac:dyDescent="0.2">
      <c r="A33" s="17">
        <v>30</v>
      </c>
      <c r="B33" s="52" t="s">
        <v>52</v>
      </c>
      <c r="C33" s="14" t="s">
        <v>57</v>
      </c>
      <c r="D33" s="40" t="s">
        <v>50</v>
      </c>
      <c r="E33" s="3"/>
      <c r="F33" s="18">
        <v>1</v>
      </c>
      <c r="G33" s="18">
        <v>3</v>
      </c>
      <c r="H33" s="18">
        <v>5</v>
      </c>
      <c r="I33" s="18">
        <v>5</v>
      </c>
      <c r="J33" s="18">
        <v>4</v>
      </c>
      <c r="K33" s="18">
        <v>3</v>
      </c>
      <c r="L33" s="18">
        <v>1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42" t="s">
        <v>76</v>
      </c>
    </row>
    <row r="34" spans="1:41" ht="14.25" customHeight="1" x14ac:dyDescent="0.2">
      <c r="A34" s="17">
        <v>31</v>
      </c>
      <c r="B34" s="52" t="s">
        <v>52</v>
      </c>
      <c r="C34" s="14" t="s">
        <v>121</v>
      </c>
      <c r="D34" s="40" t="s">
        <v>95</v>
      </c>
      <c r="E34" s="47">
        <v>1</v>
      </c>
      <c r="F34" s="47">
        <v>3</v>
      </c>
      <c r="G34" s="47">
        <v>5</v>
      </c>
      <c r="H34" s="47">
        <v>10</v>
      </c>
      <c r="I34" s="47">
        <v>5</v>
      </c>
      <c r="J34" s="47">
        <v>3</v>
      </c>
      <c r="K34" s="47">
        <v>1</v>
      </c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42" t="s">
        <v>75</v>
      </c>
    </row>
    <row r="35" spans="1:41" ht="14.25" customHeight="1" x14ac:dyDescent="0.2">
      <c r="A35" s="17">
        <v>32</v>
      </c>
      <c r="B35" s="52" t="s">
        <v>53</v>
      </c>
      <c r="C35" s="14" t="s">
        <v>123</v>
      </c>
      <c r="D35" s="40" t="s">
        <v>59</v>
      </c>
      <c r="E35" s="3"/>
      <c r="F35" s="3"/>
      <c r="G35" s="3"/>
      <c r="H35" s="3"/>
      <c r="I35" s="3"/>
      <c r="J35" s="3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48">
        <v>1</v>
      </c>
      <c r="AA35" s="48">
        <v>1</v>
      </c>
      <c r="AB35" s="48">
        <v>2</v>
      </c>
      <c r="AC35" s="48">
        <v>2</v>
      </c>
      <c r="AD35" s="48">
        <v>1</v>
      </c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3" t="s">
        <v>102</v>
      </c>
    </row>
    <row r="36" spans="1:41" ht="14.25" customHeight="1" x14ac:dyDescent="0.2">
      <c r="A36" s="17">
        <v>33</v>
      </c>
      <c r="B36" s="52" t="s">
        <v>53</v>
      </c>
      <c r="C36" s="14" t="s">
        <v>122</v>
      </c>
      <c r="D36" s="40" t="s">
        <v>96</v>
      </c>
      <c r="E36" s="3"/>
      <c r="F36" s="3"/>
      <c r="G36" s="3"/>
      <c r="H36" s="3"/>
      <c r="I36" s="3"/>
      <c r="J36" s="3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44">
        <v>2</v>
      </c>
      <c r="AE36" s="44">
        <v>5</v>
      </c>
      <c r="AF36" s="44">
        <v>10</v>
      </c>
      <c r="AG36" s="44">
        <v>5</v>
      </c>
      <c r="AH36" s="44">
        <v>2</v>
      </c>
      <c r="AI36" s="12"/>
      <c r="AJ36" s="12"/>
      <c r="AK36" s="12"/>
      <c r="AL36" s="12"/>
      <c r="AM36" s="12"/>
      <c r="AN36" s="12"/>
      <c r="AO36" s="13" t="s">
        <v>102</v>
      </c>
    </row>
    <row r="37" spans="1:41" ht="14.25" customHeight="1" x14ac:dyDescent="0.2">
      <c r="A37" s="17">
        <v>34</v>
      </c>
      <c r="B37" s="51" t="s">
        <v>52</v>
      </c>
      <c r="C37" s="14" t="s">
        <v>124</v>
      </c>
      <c r="D37" s="14" t="s">
        <v>97</v>
      </c>
      <c r="E37" s="28">
        <v>8</v>
      </c>
      <c r="F37" s="28">
        <v>4</v>
      </c>
      <c r="G37" s="28">
        <v>2</v>
      </c>
      <c r="H37" s="3"/>
      <c r="I37" s="3"/>
      <c r="J37" s="3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28">
        <v>2</v>
      </c>
      <c r="AM37" s="28">
        <v>4</v>
      </c>
      <c r="AN37" s="28">
        <v>8</v>
      </c>
      <c r="AO37" s="42" t="s">
        <v>75</v>
      </c>
    </row>
    <row r="38" spans="1:41" ht="14.25" customHeight="1" thickBot="1" x14ac:dyDescent="0.25">
      <c r="A38" s="17">
        <v>35</v>
      </c>
      <c r="B38" s="53" t="s">
        <v>52</v>
      </c>
      <c r="C38" s="30" t="s">
        <v>125</v>
      </c>
      <c r="D38" s="30" t="s">
        <v>98</v>
      </c>
      <c r="E38" s="54">
        <v>10</v>
      </c>
      <c r="F38" s="54">
        <v>5</v>
      </c>
      <c r="G38" s="54">
        <v>1</v>
      </c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4">
        <v>1</v>
      </c>
      <c r="AM38" s="54">
        <v>5</v>
      </c>
      <c r="AN38" s="54">
        <v>10</v>
      </c>
      <c r="AO38" s="42" t="s">
        <v>75</v>
      </c>
    </row>
    <row r="39" spans="1:41" ht="56.25" customHeight="1" thickBot="1" x14ac:dyDescent="0.25">
      <c r="A39" s="56" t="s">
        <v>58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8"/>
    </row>
    <row r="40" spans="1:41" x14ac:dyDescent="0.2">
      <c r="E40">
        <f t="shared" ref="E40:AN40" si="0">SUM(E4:E38)</f>
        <v>39</v>
      </c>
      <c r="F40">
        <f t="shared" si="0"/>
        <v>25</v>
      </c>
      <c r="G40">
        <f t="shared" si="0"/>
        <v>14</v>
      </c>
      <c r="H40">
        <f t="shared" si="0"/>
        <v>15</v>
      </c>
      <c r="I40">
        <f t="shared" si="0"/>
        <v>10</v>
      </c>
      <c r="J40">
        <f t="shared" si="0"/>
        <v>7</v>
      </c>
      <c r="K40">
        <f t="shared" si="0"/>
        <v>4</v>
      </c>
      <c r="L40">
        <f t="shared" si="0"/>
        <v>1</v>
      </c>
      <c r="M40">
        <f t="shared" si="0"/>
        <v>4</v>
      </c>
      <c r="N40">
        <f t="shared" si="0"/>
        <v>8</v>
      </c>
      <c r="O40">
        <f t="shared" si="0"/>
        <v>8</v>
      </c>
      <c r="P40">
        <f t="shared" si="0"/>
        <v>4</v>
      </c>
      <c r="Q40">
        <f t="shared" si="0"/>
        <v>0</v>
      </c>
      <c r="R40">
        <f t="shared" si="0"/>
        <v>0</v>
      </c>
      <c r="S40">
        <f t="shared" si="0"/>
        <v>0</v>
      </c>
      <c r="T40">
        <f t="shared" si="0"/>
        <v>0</v>
      </c>
      <c r="U40">
        <f t="shared" si="0"/>
        <v>1</v>
      </c>
      <c r="V40">
        <f t="shared" si="0"/>
        <v>4</v>
      </c>
      <c r="W40">
        <f t="shared" si="0"/>
        <v>10</v>
      </c>
      <c r="X40">
        <f t="shared" si="0"/>
        <v>27</v>
      </c>
      <c r="Y40">
        <f t="shared" si="0"/>
        <v>37</v>
      </c>
      <c r="Z40">
        <f t="shared" si="0"/>
        <v>43</v>
      </c>
      <c r="AA40">
        <f t="shared" si="0"/>
        <v>46</v>
      </c>
      <c r="AB40">
        <f t="shared" si="0"/>
        <v>36</v>
      </c>
      <c r="AC40">
        <f t="shared" si="0"/>
        <v>26</v>
      </c>
      <c r="AD40">
        <f t="shared" si="0"/>
        <v>41</v>
      </c>
      <c r="AE40">
        <f t="shared" si="0"/>
        <v>49</v>
      </c>
      <c r="AF40">
        <f t="shared" si="0"/>
        <v>60</v>
      </c>
      <c r="AG40">
        <f t="shared" si="0"/>
        <v>40</v>
      </c>
      <c r="AH40">
        <f t="shared" si="0"/>
        <v>34</v>
      </c>
      <c r="AI40">
        <f t="shared" si="0"/>
        <v>23</v>
      </c>
      <c r="AJ40">
        <f t="shared" si="0"/>
        <v>19</v>
      </c>
      <c r="AK40">
        <f t="shared" si="0"/>
        <v>20</v>
      </c>
      <c r="AL40">
        <f t="shared" si="0"/>
        <v>33</v>
      </c>
      <c r="AM40">
        <f t="shared" si="0"/>
        <v>34</v>
      </c>
      <c r="AN40">
        <f t="shared" si="0"/>
        <v>48</v>
      </c>
    </row>
    <row r="53" spans="2:42" x14ac:dyDescent="0.2">
      <c r="AP53" s="8" t="s">
        <v>12</v>
      </c>
    </row>
    <row r="60" spans="2:42" ht="20.25" x14ac:dyDescent="0.2">
      <c r="Q60" s="7" t="s">
        <v>5</v>
      </c>
    </row>
    <row r="61" spans="2:42" ht="14.25" x14ac:dyDescent="0.2">
      <c r="C61" s="10" t="s">
        <v>49</v>
      </c>
      <c r="AI61" s="10" t="s">
        <v>48</v>
      </c>
    </row>
    <row r="62" spans="2:42" x14ac:dyDescent="0.2">
      <c r="B62" s="5" t="s">
        <v>6</v>
      </c>
      <c r="C62" s="5"/>
      <c r="AI62" s="5" t="s">
        <v>20</v>
      </c>
    </row>
    <row r="63" spans="2:42" ht="15" x14ac:dyDescent="0.25">
      <c r="B63" s="6" t="s">
        <v>7</v>
      </c>
      <c r="C63" s="5"/>
      <c r="AI63" s="5" t="s">
        <v>21</v>
      </c>
    </row>
    <row r="64" spans="2:42" x14ac:dyDescent="0.2">
      <c r="B64" s="5">
        <v>40</v>
      </c>
      <c r="C64" s="5" t="s">
        <v>8</v>
      </c>
      <c r="AI64" s="5" t="s">
        <v>22</v>
      </c>
    </row>
    <row r="65" spans="2:35" x14ac:dyDescent="0.2">
      <c r="B65" s="5">
        <v>21</v>
      </c>
      <c r="C65" s="5" t="s">
        <v>9</v>
      </c>
      <c r="AI65" s="5" t="s">
        <v>23</v>
      </c>
    </row>
    <row r="66" spans="2:35" x14ac:dyDescent="0.2">
      <c r="B66" s="5">
        <v>22</v>
      </c>
      <c r="C66" s="5" t="s">
        <v>10</v>
      </c>
      <c r="AI66" s="5" t="s">
        <v>24</v>
      </c>
    </row>
    <row r="67" spans="2:35" ht="15" x14ac:dyDescent="0.25">
      <c r="B67" s="16">
        <f>SUM(B64:B66)</f>
        <v>83</v>
      </c>
      <c r="C67" s="16" t="s">
        <v>11</v>
      </c>
      <c r="AI67" s="5" t="s">
        <v>25</v>
      </c>
    </row>
    <row r="69" spans="2:35" x14ac:dyDescent="0.2">
      <c r="C69" s="5" t="s">
        <v>13</v>
      </c>
      <c r="E69" s="5"/>
      <c r="F69" s="5"/>
      <c r="G69" s="5"/>
      <c r="H69" s="5"/>
      <c r="I69" s="5"/>
      <c r="K69" s="5"/>
      <c r="L69" s="5"/>
      <c r="M69" s="5"/>
      <c r="N69" s="5"/>
      <c r="O69" s="5"/>
      <c r="AI69" s="5" t="s">
        <v>26</v>
      </c>
    </row>
    <row r="70" spans="2:35" x14ac:dyDescent="0.2">
      <c r="C70" s="5" t="s">
        <v>14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AI70" s="5" t="s">
        <v>27</v>
      </c>
    </row>
    <row r="71" spans="2:35" x14ac:dyDescent="0.2">
      <c r="C71" s="9" t="s">
        <v>15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AI71" s="5" t="s">
        <v>28</v>
      </c>
    </row>
    <row r="72" spans="2:35" x14ac:dyDescent="0.2">
      <c r="C72" s="9" t="s">
        <v>16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AI72" s="5" t="s">
        <v>29</v>
      </c>
    </row>
    <row r="73" spans="2:35" x14ac:dyDescent="0.2">
      <c r="C73" s="9" t="s">
        <v>17</v>
      </c>
      <c r="E73" s="5"/>
      <c r="F73" s="5"/>
      <c r="G73" s="5"/>
      <c r="H73" s="5"/>
      <c r="I73" s="5"/>
      <c r="K73" s="5"/>
      <c r="L73" s="5"/>
      <c r="M73" s="5"/>
      <c r="N73" s="5"/>
      <c r="AI73" s="5" t="s">
        <v>30</v>
      </c>
    </row>
    <row r="74" spans="2:35" x14ac:dyDescent="0.2">
      <c r="C74" s="9" t="s">
        <v>19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AI74" s="5" t="s">
        <v>31</v>
      </c>
    </row>
    <row r="75" spans="2:35" x14ac:dyDescent="0.2">
      <c r="C75" s="9" t="s">
        <v>18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AI75" s="5" t="s">
        <v>32</v>
      </c>
    </row>
    <row r="76" spans="2:35" x14ac:dyDescent="0.2"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spans="2:35" x14ac:dyDescent="0.2">
      <c r="D77" s="5"/>
      <c r="E77" s="5"/>
      <c r="F77" s="5"/>
      <c r="G77" s="5"/>
      <c r="H77" s="5"/>
      <c r="I77" s="5"/>
      <c r="K77" s="5"/>
      <c r="L77" s="5"/>
      <c r="M77" s="5"/>
      <c r="N77" s="5"/>
      <c r="AI77" s="9" t="s">
        <v>36</v>
      </c>
    </row>
    <row r="78" spans="2:35" x14ac:dyDescent="0.2"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AI78" s="5" t="s">
        <v>33</v>
      </c>
    </row>
    <row r="79" spans="2:35" x14ac:dyDescent="0.2">
      <c r="AI79" s="5" t="s">
        <v>34</v>
      </c>
    </row>
    <row r="80" spans="2:35" x14ac:dyDescent="0.2">
      <c r="AI80" s="5" t="s">
        <v>35</v>
      </c>
    </row>
    <row r="82" spans="35:35" x14ac:dyDescent="0.2">
      <c r="AI82" s="5" t="s">
        <v>37</v>
      </c>
    </row>
    <row r="83" spans="35:35" x14ac:dyDescent="0.2">
      <c r="AI83" s="5" t="s">
        <v>38</v>
      </c>
    </row>
    <row r="84" spans="35:35" x14ac:dyDescent="0.2">
      <c r="AI84" s="5" t="s">
        <v>39</v>
      </c>
    </row>
    <row r="85" spans="35:35" x14ac:dyDescent="0.2">
      <c r="AI85" s="5" t="s">
        <v>40</v>
      </c>
    </row>
    <row r="86" spans="35:35" x14ac:dyDescent="0.2">
      <c r="AI86" s="9" t="s">
        <v>47</v>
      </c>
    </row>
    <row r="87" spans="35:35" x14ac:dyDescent="0.2">
      <c r="AI87" s="5" t="s">
        <v>41</v>
      </c>
    </row>
    <row r="88" spans="35:35" x14ac:dyDescent="0.2">
      <c r="AI88" s="5" t="s">
        <v>42</v>
      </c>
    </row>
    <row r="89" spans="35:35" x14ac:dyDescent="0.2">
      <c r="AI89" s="5" t="s">
        <v>43</v>
      </c>
    </row>
    <row r="90" spans="35:35" x14ac:dyDescent="0.2">
      <c r="AI90" s="5" t="s">
        <v>44</v>
      </c>
    </row>
    <row r="91" spans="35:35" x14ac:dyDescent="0.2">
      <c r="AI91" s="5" t="s">
        <v>45</v>
      </c>
    </row>
    <row r="92" spans="35:35" x14ac:dyDescent="0.2">
      <c r="AI92" s="5" t="s">
        <v>46</v>
      </c>
    </row>
    <row r="93" spans="35:35" x14ac:dyDescent="0.2">
      <c r="AI93" s="5"/>
    </row>
  </sheetData>
  <mergeCells count="18">
    <mergeCell ref="A1:AO1"/>
    <mergeCell ref="N2:P2"/>
    <mergeCell ref="Q2:S2"/>
    <mergeCell ref="T2:V2"/>
    <mergeCell ref="W2:Y2"/>
    <mergeCell ref="Z2:AB2"/>
    <mergeCell ref="A2:A3"/>
    <mergeCell ref="D2:D3"/>
    <mergeCell ref="E2:G2"/>
    <mergeCell ref="H2:J2"/>
    <mergeCell ref="K2:M2"/>
    <mergeCell ref="A39:AO39"/>
    <mergeCell ref="C2:C3"/>
    <mergeCell ref="B2:B3"/>
    <mergeCell ref="AC2:AE2"/>
    <mergeCell ref="AF2:AH2"/>
    <mergeCell ref="AI2:AK2"/>
    <mergeCell ref="AL2:AN2"/>
  </mergeCells>
  <pageMargins left="0.7" right="0.7" top="0.75" bottom="0.75" header="0.3" footer="0.3"/>
  <pageSetup paperSize="9" orientation="portrait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8CA4-889E-4D75-AEF8-10BE9A9EB371}">
  <dimension ref="A1"/>
  <sheetViews>
    <sheetView topLeftCell="A4"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PARA ENVIAR ABELHAS OU LARVAS AO LABORATÓRIO</dc:title>
  <dc:creator>HELSON MONTE</dc:creator>
  <cp:lastModifiedBy>Oscar Rafael</cp:lastModifiedBy>
  <dcterms:created xsi:type="dcterms:W3CDTF">2021-04-15T21:28:41Z</dcterms:created>
  <dcterms:modified xsi:type="dcterms:W3CDTF">2026-07-05T14:55:31Z</dcterms:modified>
</cp:coreProperties>
</file>