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DDAA2423-7CA1-4A28-9443-949FF306B2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0" i="2" l="1"/>
  <c r="F33" i="2" l="1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E33" i="2"/>
</calcChain>
</file>

<file path=xl/sharedStrings.xml><?xml version="1.0" encoding="utf-8"?>
<sst xmlns="http://schemas.openxmlformats.org/spreadsheetml/2006/main" count="175" uniqueCount="126">
  <si>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</si>
  <si>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</si>
  <si>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</si>
  <si>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</si>
  <si>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</si>
  <si>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</si>
  <si>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</si>
  <si>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</si>
  <si>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</si>
  <si>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</si>
  <si>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</si>
  <si>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</si>
  <si>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</si>
  <si>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</si>
  <si>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</si>
  <si>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</si>
  <si>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</si>
  <si>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</si>
  <si>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</si>
  <si>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</si>
  <si>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</si>
  <si>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</si>
  <si>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</si>
  <si>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</si>
  <si>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</si>
  <si>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</si>
  <si>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</si>
  <si>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</si>
  <si>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</si>
  <si>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</si>
  <si>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</si>
  <si>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</si>
  <si>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</si>
  <si>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</si>
  <si>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</si>
  <si>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</si>
  <si>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</si>
  <si>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</si>
  <si>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</si>
  <si>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</si>
  <si>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</si>
  <si>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</si>
  <si>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</si>
  <si>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</si>
  <si>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</si>
  <si>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</si>
  <si>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</si>
  <si>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</si>
  <si>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</si>
  <si>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</si>
  <si>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</si>
  <si>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Prunus persica</t>
  </si>
  <si>
    <t>Arbusto</t>
  </si>
  <si>
    <t>Arbol</t>
  </si>
  <si>
    <t>Citrus</t>
  </si>
  <si>
    <t>Cebil</t>
  </si>
  <si>
    <t>Arrayan</t>
  </si>
  <si>
    <t>Zea Mays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</si>
  <si>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</si>
  <si>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CALENDÁRIO PARA REGISTRO DE FLORACIONES
MUNICIPIO: CARAPARI
                             LOCALIDAD:                 COMUNIDAD:  EL ARENAL                                         AÑO                                 </t>
  </si>
  <si>
    <t>Quina</t>
  </si>
  <si>
    <t>Guaranguay</t>
  </si>
  <si>
    <t>Garrancho</t>
  </si>
  <si>
    <t>Bejucos</t>
  </si>
  <si>
    <t>Algarrobo</t>
  </si>
  <si>
    <t>Guayabo</t>
  </si>
  <si>
    <t>Lapacho rosado</t>
  </si>
  <si>
    <t>Tusca</t>
  </si>
  <si>
    <t>Cedro</t>
  </si>
  <si>
    <t>Urundel</t>
  </si>
  <si>
    <t>Duraznero</t>
  </si>
  <si>
    <t>Citricos</t>
  </si>
  <si>
    <t>Tipilla o morterillo</t>
  </si>
  <si>
    <t>Pacara</t>
  </si>
  <si>
    <t>Palo blanco</t>
  </si>
  <si>
    <t>Parralillo</t>
  </si>
  <si>
    <t>Cafetillo</t>
  </si>
  <si>
    <t>Laurel</t>
  </si>
  <si>
    <t>Diente de leon</t>
  </si>
  <si>
    <t>Lapa lapa</t>
  </si>
  <si>
    <t>Anadenanthera colubrina</t>
  </si>
  <si>
    <t>Stans de Tecoma</t>
  </si>
  <si>
    <t>Piptadenia boliviana</t>
  </si>
  <si>
    <t>Handroanthus impetiginoso</t>
  </si>
  <si>
    <t>Psidium guajava</t>
  </si>
  <si>
    <t>Luma apiculata</t>
  </si>
  <si>
    <t>Cedrela odorata</t>
  </si>
  <si>
    <t>Myracrodruon urundeuva</t>
  </si>
  <si>
    <t>Pterogyne nitens</t>
  </si>
  <si>
    <t>Calycophyllum multiflorum</t>
  </si>
  <si>
    <t>Enterolobium contortisiliquum</t>
  </si>
  <si>
    <t>Senna occidentalis</t>
  </si>
  <si>
    <t>Serjania sp.</t>
  </si>
  <si>
    <t>Taraxacum officinale</t>
  </si>
  <si>
    <t>Aroma de vachellia</t>
  </si>
  <si>
    <t>Guayabilla</t>
  </si>
  <si>
    <t>Lapacho amarillo</t>
  </si>
  <si>
    <t>Churqui</t>
  </si>
  <si>
    <t>Tipa</t>
  </si>
  <si>
    <t>Acacia caven</t>
  </si>
  <si>
    <t>Handroanthus albus</t>
  </si>
  <si>
    <t>Tipuana tipu</t>
  </si>
  <si>
    <t>N</t>
  </si>
  <si>
    <t>Po</t>
  </si>
  <si>
    <t>N, Po</t>
  </si>
  <si>
    <t>Cinchona calisaya</t>
  </si>
  <si>
    <t>Terminalia triflora</t>
  </si>
  <si>
    <t>Palo lanza</t>
  </si>
  <si>
    <t xml:space="preserve">Cordia alliodora </t>
  </si>
  <si>
    <t>Myrsine umbellata</t>
  </si>
  <si>
    <t>N, Po, Pr</t>
  </si>
  <si>
    <t>N, Pr</t>
  </si>
  <si>
    <t>Psidium guineense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</si>
  <si>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</si>
  <si>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</si>
  <si>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</si>
  <si>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</si>
  <si>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</si>
  <si>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</si>
  <si>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</si>
  <si>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</si>
  <si>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</si>
  <si>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</si>
  <si>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</si>
  <si>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</si>
  <si>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Prosopis 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</si>
</sst>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FF33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13" fillId="2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6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7" fillId="0" borderId="16" xfId="0" applyFont="1" applyFill="1" applyBorder="1" applyAlignment="1">
      <alignment horizontal="left" vertical="top"/>
    </xf>
    <xf numFmtId="0" fontId="0" fillId="0" borderId="16" xfId="0" applyFill="1" applyBorder="1" applyAlignment="1">
      <alignment horizontal="left" vertical="top"/>
    </xf>
    <xf numFmtId="0" fontId="7" fillId="0" borderId="3" xfId="0" applyFont="1" applyFill="1" applyBorder="1" applyAlignment="1">
      <alignment horizontal="center" vertical="top"/>
    </xf>
    <xf numFmtId="0" fontId="0" fillId="20" borderId="3" xfId="0" applyFill="1" applyBorder="1" applyAlignment="1">
      <alignment horizontal="left" vertical="top"/>
    </xf>
    <xf numFmtId="0" fontId="0" fillId="7" borderId="3" xfId="0" applyFill="1" applyBorder="1" applyAlignment="1">
      <alignment horizontal="left" vertical="top"/>
    </xf>
    <xf numFmtId="0" fontId="0" fillId="2" borderId="16" xfId="0" applyFill="1" applyBorder="1" applyAlignment="1">
      <alignment horizontal="left" wrapText="1"/>
    </xf>
    <xf numFmtId="1" fontId="7" fillId="3" borderId="5" xfId="0" applyNumberFormat="1" applyFont="1" applyFill="1" applyBorder="1" applyAlignment="1">
      <alignment horizontal="center" vertical="top" shrinkToFit="1"/>
    </xf>
    <xf numFmtId="0" fontId="7" fillId="3" borderId="3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wrapText="1"/>
    </xf>
    <xf numFmtId="0" fontId="0" fillId="3" borderId="0" xfId="0" applyFill="1" applyBorder="1" applyAlignment="1">
      <alignment horizontal="left" vertical="top"/>
    </xf>
    <xf numFmtId="1" fontId="7" fillId="3" borderId="3" xfId="0" applyNumberFormat="1" applyFont="1" applyFill="1" applyBorder="1" applyAlignment="1">
      <alignment horizontal="left" vertical="top" shrinkToFit="1"/>
    </xf>
    <xf numFmtId="0" fontId="0" fillId="21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center" vertical="top" shrinkToFit="1"/>
    </xf>
    <xf numFmtId="0" fontId="7" fillId="0" borderId="3" xfId="0" applyFont="1" applyFill="1" applyBorder="1" applyAlignment="1">
      <alignment horizontal="left" wrapText="1"/>
    </xf>
    <xf numFmtId="1" fontId="7" fillId="3" borderId="3" xfId="0" applyNumberFormat="1" applyFont="1" applyFill="1" applyBorder="1" applyAlignment="1">
      <alignment horizontal="center" vertical="top" shrinkToFit="1"/>
    </xf>
    <xf numFmtId="0" fontId="7" fillId="3" borderId="3" xfId="0" applyFont="1" applyFill="1" applyBorder="1" applyAlignment="1">
      <alignment horizontal="left" wrapText="1"/>
    </xf>
    <xf numFmtId="0" fontId="0" fillId="19" borderId="3" xfId="0" applyFill="1" applyBorder="1" applyAlignment="1">
      <alignment horizontal="left" vertical="top"/>
    </xf>
    <xf numFmtId="0" fontId="7" fillId="0" borderId="16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33"/>
      <color rgb="FF3366FF"/>
      <color rgb="FFCBFC2E"/>
      <color rgb="FFFF99CC"/>
      <color rgb="FFFF0000"/>
      <color rgb="FF00FFFF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2'!$E$33:$AN$33</c:f>
              <c:numCache>
                <c:formatCode>General</c:formatCode>
                <c:ptCount val="36"/>
                <c:pt idx="0">
                  <c:v>11</c:v>
                </c:pt>
                <c:pt idx="1">
                  <c:v>19</c:v>
                </c:pt>
                <c:pt idx="2">
                  <c:v>21</c:v>
                </c:pt>
                <c:pt idx="3">
                  <c:v>17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9</c:v>
                </c:pt>
                <c:pt idx="22">
                  <c:v>19</c:v>
                </c:pt>
                <c:pt idx="23">
                  <c:v>35</c:v>
                </c:pt>
                <c:pt idx="24">
                  <c:v>44</c:v>
                </c:pt>
                <c:pt idx="25">
                  <c:v>40</c:v>
                </c:pt>
                <c:pt idx="26">
                  <c:v>31</c:v>
                </c:pt>
                <c:pt idx="27">
                  <c:v>20</c:v>
                </c:pt>
                <c:pt idx="28">
                  <c:v>16</c:v>
                </c:pt>
                <c:pt idx="29">
                  <c:v>19</c:v>
                </c:pt>
                <c:pt idx="30">
                  <c:v>18</c:v>
                </c:pt>
                <c:pt idx="31">
                  <c:v>9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34</xdr:row>
      <xdr:rowOff>4762</xdr:rowOff>
    </xdr:from>
    <xdr:to>
      <xdr:col>40</xdr:col>
      <xdr:colOff>333375</xdr:colOff>
      <xdr:row>50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45</xdr:row>
      <xdr:rowOff>57150</xdr:rowOff>
    </xdr:from>
    <xdr:to>
      <xdr:col>40</xdr:col>
      <xdr:colOff>695325</xdr:colOff>
      <xdr:row>45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36</xdr:row>
      <xdr:rowOff>66675</xdr:rowOff>
    </xdr:from>
    <xdr:to>
      <xdr:col>2</xdr:col>
      <xdr:colOff>198710</xdr:colOff>
      <xdr:row>39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36</xdr:row>
      <xdr:rowOff>76201</xdr:rowOff>
    </xdr:from>
    <xdr:to>
      <xdr:col>1</xdr:col>
      <xdr:colOff>176261</xdr:colOff>
      <xdr:row>40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41</xdr:row>
      <xdr:rowOff>142875</xdr:rowOff>
    </xdr:from>
    <xdr:to>
      <xdr:col>1</xdr:col>
      <xdr:colOff>135859</xdr:colOff>
      <xdr:row>43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41</xdr:row>
      <xdr:rowOff>104775</xdr:rowOff>
    </xdr:from>
    <xdr:to>
      <xdr:col>2</xdr:col>
      <xdr:colOff>141886</xdr:colOff>
      <xdr:row>43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41</xdr:row>
      <xdr:rowOff>66675</xdr:rowOff>
    </xdr:from>
    <xdr:to>
      <xdr:col>2</xdr:col>
      <xdr:colOff>920637</xdr:colOff>
      <xdr:row>43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44</xdr:row>
      <xdr:rowOff>159027</xdr:rowOff>
    </xdr:from>
    <xdr:to>
      <xdr:col>1</xdr:col>
      <xdr:colOff>196297</xdr:colOff>
      <xdr:row>47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45</xdr:row>
      <xdr:rowOff>6627</xdr:rowOff>
    </xdr:from>
    <xdr:to>
      <xdr:col>2</xdr:col>
      <xdr:colOff>183274</xdr:colOff>
      <xdr:row>47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44</xdr:row>
      <xdr:rowOff>159027</xdr:rowOff>
    </xdr:from>
    <xdr:to>
      <xdr:col>2</xdr:col>
      <xdr:colOff>933450</xdr:colOff>
      <xdr:row>47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36</xdr:row>
      <xdr:rowOff>57150</xdr:rowOff>
    </xdr:from>
    <xdr:to>
      <xdr:col>2</xdr:col>
      <xdr:colOff>960055</xdr:colOff>
      <xdr:row>40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workbookViewId="0">
      <pane ySplit="1" topLeftCell="A14" activePane="bottomLeft" state="frozen"/>
      <selection pane="bottomLeft" activeCell="H11" sqref="H11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9.6640625" customWidth="1"/>
    <col min="4" max="4" width="18" customWidth="1"/>
    <col min="5" max="30" width="3.1640625" customWidth="1"/>
    <col min="31" max="31" width="4.6640625" customWidth="1"/>
    <col min="32" max="36" width="3.1640625" customWidth="1"/>
    <col min="37" max="37" width="4.5" customWidth="1"/>
    <col min="38" max="39" width="3.1640625" customWidth="1"/>
    <col min="40" max="40" width="3.83203125" customWidth="1"/>
    <col min="41" max="41" width="25.83203125" customWidth="1"/>
  </cols>
  <sheetData>
    <row r="1" spans="1:41" ht="46.5" customHeight="1" thickBot="1" x14ac:dyDescent="0.25">
      <c r="A1" s="53" t="s">
        <v>59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5"/>
    </row>
    <row r="2" spans="1:41" ht="41.85" customHeight="1" x14ac:dyDescent="0.2">
      <c r="A2" s="59" t="s">
        <v>0</v>
      </c>
      <c r="B2" s="68" t="s">
        <v>3</v>
      </c>
      <c r="C2" s="66" t="s">
        <v>2</v>
      </c>
      <c r="D2" s="61" t="s">
        <v>4</v>
      </c>
      <c r="E2" s="56" t="s">
        <v>113</v>
      </c>
      <c r="F2" s="57"/>
      <c r="G2" s="58"/>
      <c r="H2" s="56" t="s">
        <v>114</v>
      </c>
      <c r="I2" s="57"/>
      <c r="J2" s="58"/>
      <c r="K2" s="56" t="s">
        <v>115</v>
      </c>
      <c r="L2" s="57"/>
      <c r="M2" s="58"/>
      <c r="N2" s="56" t="s">
        <v>116</v>
      </c>
      <c r="O2" s="57"/>
      <c r="P2" s="58"/>
      <c r="Q2" s="56" t="s">
        <v>117</v>
      </c>
      <c r="R2" s="57"/>
      <c r="S2" s="58"/>
      <c r="T2" s="56" t="s">
        <v>118</v>
      </c>
      <c r="U2" s="57"/>
      <c r="V2" s="58"/>
      <c r="W2" s="56" t="s">
        <v>119</v>
      </c>
      <c r="X2" s="57"/>
      <c r="Y2" s="58"/>
      <c r="Z2" s="56" t="s">
        <v>120</v>
      </c>
      <c r="AA2" s="57"/>
      <c r="AB2" s="58"/>
      <c r="AC2" s="56" t="s">
        <v>121</v>
      </c>
      <c r="AD2" s="57"/>
      <c r="AE2" s="58"/>
      <c r="AF2" s="56" t="s">
        <v>122</v>
      </c>
      <c r="AG2" s="57"/>
      <c r="AH2" s="58"/>
      <c r="AI2" s="56" t="s">
        <v>123</v>
      </c>
      <c r="AJ2" s="57"/>
      <c r="AK2" s="58"/>
      <c r="AL2" s="56" t="s">
        <v>124</v>
      </c>
      <c r="AM2" s="57"/>
      <c r="AN2" s="58"/>
      <c r="AO2" s="4" t="s">
        <v>1</v>
      </c>
    </row>
    <row r="3" spans="1:41" ht="21.75" customHeight="1" x14ac:dyDescent="0.2">
      <c r="A3" s="60"/>
      <c r="B3" s="69"/>
      <c r="C3" s="67"/>
      <c r="D3" s="62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ht="14.25" customHeight="1" x14ac:dyDescent="0.2">
      <c r="A4" s="17">
        <v>1</v>
      </c>
      <c r="B4" s="47" t="s">
        <v>53</v>
      </c>
      <c r="C4" s="21" t="s">
        <v>105</v>
      </c>
      <c r="D4" s="3" t="s">
        <v>60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5">
        <v>1</v>
      </c>
      <c r="AA4" s="15">
        <v>3</v>
      </c>
      <c r="AB4" s="18">
        <v>6</v>
      </c>
      <c r="AC4" s="18">
        <v>6</v>
      </c>
      <c r="AD4" s="18">
        <v>3</v>
      </c>
      <c r="AE4" s="18">
        <v>1</v>
      </c>
      <c r="AF4" s="11"/>
      <c r="AG4" s="11"/>
      <c r="AH4" s="3"/>
      <c r="AI4" s="3"/>
      <c r="AJ4" s="3"/>
      <c r="AK4" s="3"/>
      <c r="AL4" s="3"/>
      <c r="AM4" s="3"/>
      <c r="AN4" s="3"/>
      <c r="AO4" s="13" t="s">
        <v>102</v>
      </c>
    </row>
    <row r="5" spans="1:41" ht="14.25" customHeight="1" x14ac:dyDescent="0.2">
      <c r="A5" s="17">
        <v>2</v>
      </c>
      <c r="B5" s="47" t="s">
        <v>53</v>
      </c>
      <c r="C5" s="14" t="s">
        <v>81</v>
      </c>
      <c r="D5" s="48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9">
        <v>1</v>
      </c>
      <c r="AB5" s="19">
        <v>5</v>
      </c>
      <c r="AC5" s="19">
        <v>6</v>
      </c>
      <c r="AD5" s="19">
        <v>3</v>
      </c>
      <c r="AE5" s="19">
        <v>1</v>
      </c>
      <c r="AF5" s="3"/>
      <c r="AG5" s="3"/>
      <c r="AH5" s="3"/>
      <c r="AI5" s="3"/>
      <c r="AJ5" s="3"/>
      <c r="AK5" s="3"/>
      <c r="AL5" s="3"/>
      <c r="AM5" s="3"/>
      <c r="AN5" s="3"/>
      <c r="AO5" s="13" t="s">
        <v>104</v>
      </c>
    </row>
    <row r="6" spans="1:41" ht="14.25" customHeight="1" x14ac:dyDescent="0.2">
      <c r="A6" s="17">
        <v>3</v>
      </c>
      <c r="B6" s="47" t="s">
        <v>53</v>
      </c>
      <c r="C6" s="14" t="s">
        <v>80</v>
      </c>
      <c r="D6" s="48" t="s">
        <v>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20">
        <v>1</v>
      </c>
      <c r="AG6" s="20">
        <v>5</v>
      </c>
      <c r="AH6" s="20">
        <v>10</v>
      </c>
      <c r="AI6" s="20">
        <v>10</v>
      </c>
      <c r="AJ6" s="20">
        <v>5</v>
      </c>
      <c r="AK6" s="20">
        <v>1</v>
      </c>
      <c r="AL6" s="3"/>
      <c r="AM6" s="3"/>
      <c r="AN6" s="3"/>
      <c r="AO6" s="13" t="s">
        <v>104</v>
      </c>
    </row>
    <row r="7" spans="1:41" ht="14.25" customHeight="1" x14ac:dyDescent="0.2">
      <c r="A7" s="17">
        <v>4</v>
      </c>
      <c r="B7" s="47" t="s">
        <v>53</v>
      </c>
      <c r="C7" s="14" t="s">
        <v>82</v>
      </c>
      <c r="D7" s="14" t="s">
        <v>62</v>
      </c>
      <c r="E7" s="19">
        <v>4</v>
      </c>
      <c r="F7" s="19">
        <v>6</v>
      </c>
      <c r="G7" s="19">
        <v>6</v>
      </c>
      <c r="H7" s="19">
        <v>4</v>
      </c>
      <c r="I7" s="19">
        <v>2</v>
      </c>
      <c r="J7" s="19">
        <v>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19">
        <v>1</v>
      </c>
      <c r="AM7" s="19">
        <v>1</v>
      </c>
      <c r="AN7" s="19">
        <v>1</v>
      </c>
      <c r="AO7" s="13" t="s">
        <v>104</v>
      </c>
    </row>
    <row r="8" spans="1:41" ht="14.25" customHeight="1" x14ac:dyDescent="0.2">
      <c r="A8" s="17">
        <v>5</v>
      </c>
      <c r="B8" s="47" t="s">
        <v>52</v>
      </c>
      <c r="C8" s="34"/>
      <c r="D8" s="48" t="s">
        <v>63</v>
      </c>
      <c r="E8" s="15">
        <v>4</v>
      </c>
      <c r="F8" s="15">
        <v>6</v>
      </c>
      <c r="G8" s="15">
        <v>6</v>
      </c>
      <c r="H8" s="15">
        <v>4</v>
      </c>
      <c r="I8" s="15">
        <v>2</v>
      </c>
      <c r="J8" s="15">
        <v>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15">
        <v>1</v>
      </c>
      <c r="AM8" s="15">
        <v>1</v>
      </c>
      <c r="AN8" s="15">
        <v>1</v>
      </c>
      <c r="AO8" s="13" t="s">
        <v>102</v>
      </c>
    </row>
    <row r="9" spans="1:41" ht="14.25" customHeight="1" x14ac:dyDescent="0.2">
      <c r="A9" s="17">
        <v>6</v>
      </c>
      <c r="B9" s="47" t="s">
        <v>53</v>
      </c>
      <c r="C9" s="14" t="s">
        <v>125</v>
      </c>
      <c r="D9" s="48" t="s">
        <v>64</v>
      </c>
      <c r="E9" s="3"/>
      <c r="F9" s="3"/>
      <c r="G9" s="3"/>
      <c r="H9" s="3"/>
      <c r="I9" s="3"/>
      <c r="J9" s="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3"/>
      <c r="Y9" s="3"/>
      <c r="Z9" s="21"/>
      <c r="AA9" s="21"/>
      <c r="AB9" s="21"/>
      <c r="AC9" s="22">
        <v>1</v>
      </c>
      <c r="AD9" s="22">
        <v>2</v>
      </c>
      <c r="AE9" s="22">
        <v>4</v>
      </c>
      <c r="AF9" s="22">
        <v>4</v>
      </c>
      <c r="AG9" s="22">
        <v>2</v>
      </c>
      <c r="AH9" s="22">
        <v>1</v>
      </c>
      <c r="AI9" s="22">
        <v>1</v>
      </c>
      <c r="AJ9" s="3"/>
      <c r="AK9" s="3"/>
      <c r="AL9" s="3"/>
      <c r="AM9" s="3"/>
      <c r="AN9" s="3"/>
      <c r="AO9" s="13" t="s">
        <v>104</v>
      </c>
    </row>
    <row r="10" spans="1:41" s="44" customFormat="1" ht="14.25" customHeight="1" x14ac:dyDescent="0.2">
      <c r="A10" s="41">
        <v>7</v>
      </c>
      <c r="B10" s="49" t="s">
        <v>53</v>
      </c>
      <c r="C10" s="42" t="s">
        <v>84</v>
      </c>
      <c r="D10" s="50" t="s">
        <v>65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20">
        <v>1</v>
      </c>
      <c r="AG10" s="20">
        <v>1</v>
      </c>
      <c r="AH10" s="20">
        <v>1</v>
      </c>
      <c r="AI10" s="12"/>
      <c r="AJ10" s="12"/>
      <c r="AK10" s="12"/>
      <c r="AL10" s="12"/>
      <c r="AM10" s="12"/>
      <c r="AN10" s="12"/>
      <c r="AO10" s="43" t="s">
        <v>110</v>
      </c>
    </row>
    <row r="11" spans="1:41" ht="14.25" customHeight="1" x14ac:dyDescent="0.2">
      <c r="A11" s="17">
        <v>8</v>
      </c>
      <c r="B11" s="47" t="s">
        <v>53</v>
      </c>
      <c r="C11" s="14" t="s">
        <v>83</v>
      </c>
      <c r="D11" s="14" t="s">
        <v>66</v>
      </c>
      <c r="E11" s="3"/>
      <c r="F11" s="3"/>
      <c r="G11" s="3"/>
      <c r="H11" s="3"/>
      <c r="I11" s="3"/>
      <c r="J11" s="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3"/>
      <c r="Y11" s="3"/>
      <c r="Z11" s="23">
        <v>1</v>
      </c>
      <c r="AA11" s="23">
        <v>1</v>
      </c>
      <c r="AB11" s="23">
        <v>1</v>
      </c>
      <c r="AC11" s="23">
        <v>1</v>
      </c>
      <c r="AD11" s="23">
        <v>1</v>
      </c>
      <c r="AE11" s="23">
        <v>1</v>
      </c>
      <c r="AF11" s="3"/>
      <c r="AG11" s="3"/>
      <c r="AH11" s="3"/>
      <c r="AI11" s="3"/>
      <c r="AJ11" s="3"/>
      <c r="AK11" s="3"/>
      <c r="AL11" s="3"/>
      <c r="AM11" s="3"/>
      <c r="AN11" s="3"/>
      <c r="AO11" s="13" t="s">
        <v>104</v>
      </c>
    </row>
    <row r="12" spans="1:41" ht="14.25" customHeight="1" x14ac:dyDescent="0.2">
      <c r="A12" s="17">
        <v>9</v>
      </c>
      <c r="B12" s="47" t="s">
        <v>53</v>
      </c>
      <c r="C12" s="14" t="s">
        <v>94</v>
      </c>
      <c r="D12" s="14" t="s">
        <v>67</v>
      </c>
      <c r="E12" s="3"/>
      <c r="F12" s="3"/>
      <c r="G12" s="3"/>
      <c r="H12" s="3"/>
      <c r="I12" s="3"/>
      <c r="J12" s="3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"/>
      <c r="Z12" s="3"/>
      <c r="AA12" s="3"/>
      <c r="AB12" s="19">
        <v>1</v>
      </c>
      <c r="AC12" s="19">
        <v>3</v>
      </c>
      <c r="AD12" s="19">
        <v>5</v>
      </c>
      <c r="AE12" s="19">
        <v>5</v>
      </c>
      <c r="AF12" s="19">
        <v>3</v>
      </c>
      <c r="AG12" s="19">
        <v>1</v>
      </c>
      <c r="AH12" s="3"/>
      <c r="AI12" s="3"/>
      <c r="AJ12" s="3"/>
      <c r="AK12" s="3"/>
      <c r="AL12" s="3"/>
      <c r="AM12" s="3"/>
      <c r="AN12" s="3"/>
      <c r="AO12" s="13" t="s">
        <v>104</v>
      </c>
    </row>
    <row r="13" spans="1:41" ht="14.25" customHeight="1" x14ac:dyDescent="0.2">
      <c r="A13" s="17">
        <v>10</v>
      </c>
      <c r="B13" s="47" t="s">
        <v>53</v>
      </c>
      <c r="C13" s="14" t="s">
        <v>86</v>
      </c>
      <c r="D13" s="3" t="s">
        <v>68</v>
      </c>
      <c r="E13" s="3"/>
      <c r="F13" s="3"/>
      <c r="G13" s="3"/>
      <c r="H13" s="3"/>
      <c r="I13" s="3"/>
      <c r="J13" s="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"/>
      <c r="Z13" s="3"/>
      <c r="AA13" s="3"/>
      <c r="AB13" s="3"/>
      <c r="AC13" s="3"/>
      <c r="AD13" s="3"/>
      <c r="AE13" s="3"/>
      <c r="AF13" s="3"/>
      <c r="AG13" s="3"/>
      <c r="AH13" s="24">
        <v>1</v>
      </c>
      <c r="AI13" s="24">
        <v>1</v>
      </c>
      <c r="AJ13" s="24">
        <v>1</v>
      </c>
      <c r="AK13" s="3"/>
      <c r="AL13" s="3"/>
      <c r="AM13" s="3"/>
      <c r="AN13" s="3"/>
      <c r="AO13" s="13" t="s">
        <v>110</v>
      </c>
    </row>
    <row r="14" spans="1:41" ht="14.25" customHeight="1" x14ac:dyDescent="0.2">
      <c r="A14" s="17">
        <v>11</v>
      </c>
      <c r="B14" s="47" t="s">
        <v>53</v>
      </c>
      <c r="C14" s="14" t="s">
        <v>85</v>
      </c>
      <c r="D14" s="14" t="s">
        <v>56</v>
      </c>
      <c r="E14" s="3"/>
      <c r="F14" s="3"/>
      <c r="G14" s="3"/>
      <c r="H14" s="3"/>
      <c r="I14" s="3"/>
      <c r="J14" s="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"/>
      <c r="Z14" s="3"/>
      <c r="AA14" s="3"/>
      <c r="AB14" s="25">
        <v>1</v>
      </c>
      <c r="AC14" s="25">
        <v>4</v>
      </c>
      <c r="AD14" s="25">
        <v>6</v>
      </c>
      <c r="AE14" s="25">
        <v>6</v>
      </c>
      <c r="AF14" s="25">
        <v>4</v>
      </c>
      <c r="AG14" s="25">
        <v>1</v>
      </c>
      <c r="AH14" s="3"/>
      <c r="AI14" s="3"/>
      <c r="AJ14" s="3"/>
      <c r="AK14" s="3"/>
      <c r="AL14" s="3"/>
      <c r="AM14" s="3"/>
      <c r="AN14" s="3"/>
      <c r="AO14" s="13" t="s">
        <v>104</v>
      </c>
    </row>
    <row r="15" spans="1:41" ht="14.25" customHeight="1" x14ac:dyDescent="0.2">
      <c r="A15" s="17">
        <v>12</v>
      </c>
      <c r="B15" s="47" t="s">
        <v>53</v>
      </c>
      <c r="C15" s="14" t="s">
        <v>87</v>
      </c>
      <c r="D15" s="14" t="s">
        <v>69</v>
      </c>
      <c r="E15" s="3"/>
      <c r="F15" s="3"/>
      <c r="G15" s="3"/>
      <c r="H15" s="3"/>
      <c r="I15" s="3"/>
      <c r="J15" s="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3"/>
      <c r="Z15" s="26">
        <v>1</v>
      </c>
      <c r="AA15" s="26">
        <v>2</v>
      </c>
      <c r="AB15" s="26">
        <v>2</v>
      </c>
      <c r="AC15" s="26">
        <v>2</v>
      </c>
      <c r="AD15" s="26">
        <v>2</v>
      </c>
      <c r="AE15" s="26">
        <v>1</v>
      </c>
      <c r="AF15" s="3"/>
      <c r="AG15" s="3"/>
      <c r="AH15" s="3"/>
      <c r="AI15" s="3"/>
      <c r="AJ15" s="3"/>
      <c r="AK15" s="3"/>
      <c r="AL15" s="3"/>
      <c r="AM15" s="3"/>
      <c r="AN15" s="3"/>
      <c r="AO15" s="13" t="s">
        <v>111</v>
      </c>
    </row>
    <row r="16" spans="1:41" s="44" customFormat="1" ht="14.25" customHeight="1" x14ac:dyDescent="0.2">
      <c r="A16" s="41">
        <v>13</v>
      </c>
      <c r="B16" s="49" t="s">
        <v>53</v>
      </c>
      <c r="C16" s="45" t="s">
        <v>51</v>
      </c>
      <c r="D16" s="42" t="s">
        <v>70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46">
        <v>1</v>
      </c>
      <c r="U16" s="46">
        <v>2</v>
      </c>
      <c r="V16" s="46">
        <v>3</v>
      </c>
      <c r="W16" s="46">
        <v>3</v>
      </c>
      <c r="X16" s="46">
        <v>2</v>
      </c>
      <c r="Y16" s="46">
        <v>1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43" t="s">
        <v>104</v>
      </c>
    </row>
    <row r="17" spans="1:41" ht="14.25" customHeight="1" x14ac:dyDescent="0.2">
      <c r="A17" s="17">
        <v>14</v>
      </c>
      <c r="B17" s="47" t="s">
        <v>53</v>
      </c>
      <c r="C17" s="34" t="s">
        <v>54</v>
      </c>
      <c r="D17" s="14" t="s">
        <v>71</v>
      </c>
      <c r="E17" s="3"/>
      <c r="F17" s="3"/>
      <c r="G17" s="3"/>
      <c r="H17" s="3"/>
      <c r="I17" s="3"/>
      <c r="J17" s="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27">
        <v>1</v>
      </c>
      <c r="Z17" s="27">
        <v>1</v>
      </c>
      <c r="AA17" s="27">
        <v>3</v>
      </c>
      <c r="AB17" s="27">
        <v>4</v>
      </c>
      <c r="AC17" s="27">
        <v>3</v>
      </c>
      <c r="AD17" s="27">
        <v>2</v>
      </c>
      <c r="AE17" s="27">
        <v>1</v>
      </c>
      <c r="AF17" s="3"/>
      <c r="AG17" s="3"/>
      <c r="AH17" s="3"/>
      <c r="AI17" s="3"/>
      <c r="AJ17" s="3"/>
      <c r="AK17" s="3"/>
      <c r="AL17" s="3"/>
      <c r="AM17" s="3"/>
      <c r="AN17" s="3"/>
      <c r="AO17" s="13" t="s">
        <v>104</v>
      </c>
    </row>
    <row r="18" spans="1:41" ht="14.25" customHeight="1" x14ac:dyDescent="0.2">
      <c r="A18" s="17">
        <v>15</v>
      </c>
      <c r="B18" s="47" t="s">
        <v>52</v>
      </c>
      <c r="C18" s="14" t="s">
        <v>88</v>
      </c>
      <c r="D18" s="48" t="s">
        <v>72</v>
      </c>
      <c r="E18" s="28">
        <v>2</v>
      </c>
      <c r="F18" s="28">
        <v>4</v>
      </c>
      <c r="G18" s="28">
        <v>4</v>
      </c>
      <c r="H18" s="28">
        <v>2</v>
      </c>
      <c r="I18" s="28">
        <v>2</v>
      </c>
      <c r="J18" s="28">
        <v>1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8">
        <v>1</v>
      </c>
      <c r="AN18" s="28">
        <v>1</v>
      </c>
      <c r="AO18" s="13" t="s">
        <v>104</v>
      </c>
    </row>
    <row r="19" spans="1:41" ht="14.25" customHeight="1" x14ac:dyDescent="0.2">
      <c r="A19" s="17">
        <v>16</v>
      </c>
      <c r="B19" s="47" t="s">
        <v>53</v>
      </c>
      <c r="C19" s="14" t="s">
        <v>90</v>
      </c>
      <c r="D19" s="48" t="s">
        <v>73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"/>
      <c r="Z19" s="3"/>
      <c r="AA19" s="3"/>
      <c r="AB19" s="3"/>
      <c r="AC19" s="3"/>
      <c r="AD19" s="3"/>
      <c r="AE19" s="3"/>
      <c r="AF19" s="29">
        <v>1</v>
      </c>
      <c r="AG19" s="29">
        <v>2</v>
      </c>
      <c r="AH19" s="29">
        <v>4</v>
      </c>
      <c r="AI19" s="29">
        <v>4</v>
      </c>
      <c r="AJ19" s="29">
        <v>2</v>
      </c>
      <c r="AK19" s="29">
        <v>1</v>
      </c>
      <c r="AL19" s="3"/>
      <c r="AM19" s="3"/>
      <c r="AN19" s="3"/>
      <c r="AO19" s="13" t="s">
        <v>102</v>
      </c>
    </row>
    <row r="20" spans="1:41" ht="14.25" customHeight="1" x14ac:dyDescent="0.2">
      <c r="A20" s="17">
        <v>17</v>
      </c>
      <c r="B20" s="47" t="s">
        <v>52</v>
      </c>
      <c r="C20" s="14" t="s">
        <v>57</v>
      </c>
      <c r="D20" s="48" t="s">
        <v>50</v>
      </c>
      <c r="E20" s="12"/>
      <c r="F20" s="12"/>
      <c r="G20" s="12"/>
      <c r="H20" s="26">
        <v>1</v>
      </c>
      <c r="I20" s="26">
        <v>3</v>
      </c>
      <c r="J20" s="26">
        <v>5</v>
      </c>
      <c r="K20" s="26">
        <v>5</v>
      </c>
      <c r="L20" s="26">
        <v>3</v>
      </c>
      <c r="M20" s="26">
        <v>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3"/>
      <c r="Y20" s="3"/>
      <c r="Z20" s="3"/>
      <c r="AA20" s="3"/>
      <c r="AB20" s="3"/>
      <c r="AC20" s="3"/>
      <c r="AD20" s="3"/>
      <c r="AE20" s="3"/>
      <c r="AF20" s="3"/>
      <c r="AG20" s="21"/>
      <c r="AH20" s="3"/>
      <c r="AI20" s="3"/>
      <c r="AJ20" s="3"/>
      <c r="AK20" s="3"/>
      <c r="AL20" s="3"/>
      <c r="AM20" s="3"/>
      <c r="AN20" s="3"/>
      <c r="AO20" s="13" t="s">
        <v>103</v>
      </c>
    </row>
    <row r="21" spans="1:41" ht="14.25" customHeight="1" x14ac:dyDescent="0.2">
      <c r="A21" s="17">
        <v>18</v>
      </c>
      <c r="B21" s="47" t="s">
        <v>53</v>
      </c>
      <c r="C21" s="14" t="s">
        <v>89</v>
      </c>
      <c r="D21" s="48" t="s">
        <v>74</v>
      </c>
      <c r="E21" s="12"/>
      <c r="F21" s="12"/>
      <c r="G21" s="12"/>
      <c r="H21" s="12"/>
      <c r="I21" s="30">
        <v>1</v>
      </c>
      <c r="J21" s="30">
        <v>2</v>
      </c>
      <c r="K21" s="30">
        <v>6</v>
      </c>
      <c r="L21" s="30">
        <v>8</v>
      </c>
      <c r="M21" s="30">
        <v>6</v>
      </c>
      <c r="N21" s="30">
        <v>2</v>
      </c>
      <c r="O21" s="30">
        <v>1</v>
      </c>
      <c r="P21" s="12"/>
      <c r="Q21" s="12"/>
      <c r="R21" s="12"/>
      <c r="S21" s="12"/>
      <c r="T21" s="12"/>
      <c r="U21" s="12"/>
      <c r="V21" s="12"/>
      <c r="W21" s="12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13" t="s">
        <v>102</v>
      </c>
    </row>
    <row r="22" spans="1:41" ht="14.25" customHeight="1" x14ac:dyDescent="0.2">
      <c r="A22" s="17">
        <v>19</v>
      </c>
      <c r="B22" s="47" t="s">
        <v>53</v>
      </c>
      <c r="C22" s="14" t="s">
        <v>106</v>
      </c>
      <c r="D22" s="48" t="s">
        <v>107</v>
      </c>
      <c r="E22" s="31">
        <v>1</v>
      </c>
      <c r="F22" s="31">
        <v>3</v>
      </c>
      <c r="G22" s="31">
        <v>5</v>
      </c>
      <c r="H22" s="31">
        <v>5</v>
      </c>
      <c r="I22" s="31">
        <v>3</v>
      </c>
      <c r="J22" s="31">
        <v>1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13" t="s">
        <v>102</v>
      </c>
    </row>
    <row r="23" spans="1:41" ht="14.25" customHeight="1" x14ac:dyDescent="0.2">
      <c r="A23" s="17">
        <v>20</v>
      </c>
      <c r="B23" s="47" t="s">
        <v>53</v>
      </c>
      <c r="C23" s="14" t="s">
        <v>92</v>
      </c>
      <c r="D23" s="48" t="s">
        <v>75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3"/>
      <c r="Y23" s="3"/>
      <c r="Z23" s="32">
        <v>1</v>
      </c>
      <c r="AA23" s="32">
        <v>3</v>
      </c>
      <c r="AB23" s="32">
        <v>6</v>
      </c>
      <c r="AC23" s="32">
        <v>7</v>
      </c>
      <c r="AD23" s="32">
        <v>6</v>
      </c>
      <c r="AE23" s="32">
        <v>3</v>
      </c>
      <c r="AF23" s="32">
        <v>1</v>
      </c>
      <c r="AG23" s="32">
        <v>1</v>
      </c>
      <c r="AH23" s="32">
        <v>1</v>
      </c>
      <c r="AI23" s="32">
        <v>1</v>
      </c>
      <c r="AJ23" s="3"/>
      <c r="AK23" s="3"/>
      <c r="AL23" s="3"/>
      <c r="AM23" s="3"/>
      <c r="AN23" s="3"/>
      <c r="AO23" s="13" t="s">
        <v>104</v>
      </c>
    </row>
    <row r="24" spans="1:41" ht="14.25" customHeight="1" x14ac:dyDescent="0.2">
      <c r="A24" s="17">
        <v>21</v>
      </c>
      <c r="B24" s="47" t="s">
        <v>52</v>
      </c>
      <c r="C24" s="14" t="s">
        <v>91</v>
      </c>
      <c r="D24" s="48" t="s">
        <v>76</v>
      </c>
      <c r="E24" s="12"/>
      <c r="F24" s="12"/>
      <c r="G24" s="12"/>
      <c r="H24" s="33">
        <v>1</v>
      </c>
      <c r="I24" s="33">
        <v>2</v>
      </c>
      <c r="J24" s="33">
        <v>4</v>
      </c>
      <c r="K24" s="33">
        <v>4</v>
      </c>
      <c r="L24" s="33">
        <v>2</v>
      </c>
      <c r="M24" s="33">
        <v>1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3" t="s">
        <v>104</v>
      </c>
    </row>
    <row r="25" spans="1:41" ht="14.25" customHeight="1" x14ac:dyDescent="0.2">
      <c r="A25" s="17">
        <v>22</v>
      </c>
      <c r="B25" s="47" t="s">
        <v>53</v>
      </c>
      <c r="C25" s="14" t="s">
        <v>108</v>
      </c>
      <c r="D25" s="48" t="s">
        <v>77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3"/>
      <c r="Y25" s="19">
        <v>1</v>
      </c>
      <c r="Z25" s="19">
        <v>3</v>
      </c>
      <c r="AA25" s="19">
        <v>5</v>
      </c>
      <c r="AB25" s="19">
        <v>7</v>
      </c>
      <c r="AC25" s="19">
        <v>7</v>
      </c>
      <c r="AD25" s="19">
        <v>5</v>
      </c>
      <c r="AE25" s="19">
        <v>3</v>
      </c>
      <c r="AF25" s="19">
        <v>1</v>
      </c>
      <c r="AG25" s="3"/>
      <c r="AH25" s="3"/>
      <c r="AI25" s="3"/>
      <c r="AJ25" s="3"/>
      <c r="AK25" s="3"/>
      <c r="AL25" s="3"/>
      <c r="AM25" s="3"/>
      <c r="AN25" s="3"/>
      <c r="AO25" s="13" t="s">
        <v>104</v>
      </c>
    </row>
    <row r="26" spans="1:41" ht="14.25" customHeight="1" x14ac:dyDescent="0.2">
      <c r="A26" s="17">
        <v>23</v>
      </c>
      <c r="B26" s="47" t="s">
        <v>52</v>
      </c>
      <c r="C26" s="14" t="s">
        <v>93</v>
      </c>
      <c r="D26" s="21" t="s">
        <v>78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3"/>
      <c r="Y26" s="3"/>
      <c r="Z26" s="23">
        <v>1</v>
      </c>
      <c r="AA26" s="23">
        <v>1</v>
      </c>
      <c r="AB26" s="23">
        <v>1</v>
      </c>
      <c r="AC26" s="23">
        <v>1</v>
      </c>
      <c r="AD26" s="23">
        <v>1</v>
      </c>
      <c r="AE26" s="23">
        <v>1</v>
      </c>
      <c r="AF26" s="3"/>
      <c r="AG26" s="3"/>
      <c r="AH26" s="3"/>
      <c r="AI26" s="3"/>
      <c r="AJ26" s="3"/>
      <c r="AK26" s="3"/>
      <c r="AL26" s="3"/>
      <c r="AM26" s="3"/>
      <c r="AN26" s="3"/>
      <c r="AO26" s="13" t="s">
        <v>104</v>
      </c>
    </row>
    <row r="27" spans="1:41" ht="14.25" customHeight="1" x14ac:dyDescent="0.2">
      <c r="A27" s="17">
        <v>24</v>
      </c>
      <c r="B27" s="47" t="s">
        <v>52</v>
      </c>
      <c r="C27" s="14" t="s">
        <v>109</v>
      </c>
      <c r="D27" s="48" t="s">
        <v>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3"/>
      <c r="Y27" s="3"/>
      <c r="Z27" s="3"/>
      <c r="AA27" s="3"/>
      <c r="AB27" s="3"/>
      <c r="AC27" s="26">
        <v>1</v>
      </c>
      <c r="AD27" s="26">
        <v>2</v>
      </c>
      <c r="AE27" s="26">
        <v>2</v>
      </c>
      <c r="AF27" s="26">
        <v>2</v>
      </c>
      <c r="AG27" s="26">
        <v>2</v>
      </c>
      <c r="AH27" s="26">
        <v>1</v>
      </c>
      <c r="AI27" s="3"/>
      <c r="AJ27" s="3"/>
      <c r="AK27" s="3"/>
      <c r="AL27" s="3"/>
      <c r="AM27" s="3"/>
      <c r="AN27" s="3"/>
      <c r="AO27" s="13" t="s">
        <v>104</v>
      </c>
    </row>
    <row r="28" spans="1:41" ht="14.25" customHeight="1" x14ac:dyDescent="0.2">
      <c r="A28" s="17">
        <v>25</v>
      </c>
      <c r="B28" s="47" t="s">
        <v>52</v>
      </c>
      <c r="C28" s="14" t="s">
        <v>112</v>
      </c>
      <c r="D28" s="48" t="s">
        <v>95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3"/>
      <c r="Y28" s="3"/>
      <c r="Z28" s="3"/>
      <c r="AA28" s="3"/>
      <c r="AB28" s="51">
        <v>1</v>
      </c>
      <c r="AC28" s="51">
        <v>2</v>
      </c>
      <c r="AD28" s="51">
        <v>2</v>
      </c>
      <c r="AE28" s="51">
        <v>2</v>
      </c>
      <c r="AF28" s="51">
        <v>2</v>
      </c>
      <c r="AG28" s="51">
        <v>1</v>
      </c>
      <c r="AH28" s="3"/>
      <c r="AI28" s="3"/>
      <c r="AJ28" s="3"/>
      <c r="AK28" s="3"/>
      <c r="AL28" s="3"/>
      <c r="AM28" s="3"/>
      <c r="AN28" s="3"/>
      <c r="AO28" s="13" t="s">
        <v>104</v>
      </c>
    </row>
    <row r="29" spans="1:41" ht="14.25" customHeight="1" x14ac:dyDescent="0.2">
      <c r="A29" s="17">
        <v>26</v>
      </c>
      <c r="B29" s="37" t="s">
        <v>53</v>
      </c>
      <c r="C29" s="14" t="s">
        <v>100</v>
      </c>
      <c r="D29" s="14" t="s">
        <v>96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38">
        <v>1</v>
      </c>
      <c r="AD29" s="38">
        <v>1</v>
      </c>
      <c r="AE29" s="38">
        <v>1</v>
      </c>
      <c r="AF29" s="38">
        <v>1</v>
      </c>
      <c r="AG29" s="38">
        <v>1</v>
      </c>
      <c r="AH29" s="38">
        <v>1</v>
      </c>
      <c r="AI29" s="3"/>
      <c r="AJ29" s="3"/>
      <c r="AK29" s="3"/>
      <c r="AL29" s="3"/>
      <c r="AM29" s="3"/>
      <c r="AN29" s="3"/>
      <c r="AO29" s="13" t="s">
        <v>104</v>
      </c>
    </row>
    <row r="30" spans="1:41" ht="14.25" customHeight="1" x14ac:dyDescent="0.2">
      <c r="A30" s="17">
        <v>27</v>
      </c>
      <c r="B30" s="37" t="s">
        <v>53</v>
      </c>
      <c r="C30" s="14" t="s">
        <v>99</v>
      </c>
      <c r="D30" s="14" t="s">
        <v>97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39">
        <v>1</v>
      </c>
      <c r="X30" s="39">
        <v>2</v>
      </c>
      <c r="Y30" s="39">
        <v>4</v>
      </c>
      <c r="Z30" s="39">
        <v>4</v>
      </c>
      <c r="AA30" s="39">
        <v>2</v>
      </c>
      <c r="AB30" s="39">
        <v>1</v>
      </c>
      <c r="AC30" s="21"/>
      <c r="AD30" s="21"/>
      <c r="AE30" s="21"/>
      <c r="AF30" s="21"/>
      <c r="AG30" s="21"/>
      <c r="AH30" s="21"/>
      <c r="AI30" s="3"/>
      <c r="AJ30" s="3"/>
      <c r="AK30" s="3"/>
      <c r="AL30" s="3"/>
      <c r="AM30" s="3"/>
      <c r="AN30" s="3"/>
      <c r="AO30" s="13" t="s">
        <v>104</v>
      </c>
    </row>
    <row r="31" spans="1:41" ht="14.25" customHeight="1" thickBot="1" x14ac:dyDescent="0.25">
      <c r="A31" s="17">
        <v>28</v>
      </c>
      <c r="B31" s="52" t="s">
        <v>53</v>
      </c>
      <c r="C31" s="35" t="s">
        <v>101</v>
      </c>
      <c r="D31" s="35" t="s">
        <v>98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40">
        <v>1</v>
      </c>
      <c r="AJ31" s="40">
        <v>1</v>
      </c>
      <c r="AK31" s="40">
        <v>4</v>
      </c>
      <c r="AL31" s="40">
        <v>4</v>
      </c>
      <c r="AM31" s="40">
        <v>2</v>
      </c>
      <c r="AN31" s="40">
        <v>1</v>
      </c>
      <c r="AO31" s="13" t="s">
        <v>104</v>
      </c>
    </row>
    <row r="32" spans="1:41" ht="56.25" customHeight="1" thickBot="1" x14ac:dyDescent="0.25">
      <c r="A32" s="63" t="s">
        <v>58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pans="5:42" x14ac:dyDescent="0.2">
      <c r="E33">
        <f t="shared" ref="E33:AH33" si="0">SUM(E4:E28)</f>
        <v>11</v>
      </c>
      <c r="F33">
        <f t="shared" si="0"/>
        <v>19</v>
      </c>
      <c r="G33">
        <f t="shared" si="0"/>
        <v>21</v>
      </c>
      <c r="H33">
        <f t="shared" si="0"/>
        <v>17</v>
      </c>
      <c r="I33">
        <f t="shared" si="0"/>
        <v>15</v>
      </c>
      <c r="J33">
        <f t="shared" si="0"/>
        <v>15</v>
      </c>
      <c r="K33">
        <f t="shared" si="0"/>
        <v>15</v>
      </c>
      <c r="L33">
        <f t="shared" si="0"/>
        <v>13</v>
      </c>
      <c r="M33">
        <f t="shared" si="0"/>
        <v>8</v>
      </c>
      <c r="N33">
        <f t="shared" si="0"/>
        <v>2</v>
      </c>
      <c r="O33">
        <f t="shared" si="0"/>
        <v>1</v>
      </c>
      <c r="P33">
        <f t="shared" si="0"/>
        <v>0</v>
      </c>
      <c r="Q33">
        <f t="shared" si="0"/>
        <v>0</v>
      </c>
      <c r="R33">
        <f t="shared" si="0"/>
        <v>0</v>
      </c>
      <c r="S33">
        <f t="shared" si="0"/>
        <v>0</v>
      </c>
      <c r="T33">
        <f t="shared" si="0"/>
        <v>1</v>
      </c>
      <c r="U33">
        <f t="shared" si="0"/>
        <v>2</v>
      </c>
      <c r="V33">
        <f t="shared" si="0"/>
        <v>3</v>
      </c>
      <c r="W33">
        <f t="shared" si="0"/>
        <v>3</v>
      </c>
      <c r="X33">
        <f t="shared" si="0"/>
        <v>2</v>
      </c>
      <c r="Y33">
        <f t="shared" si="0"/>
        <v>3</v>
      </c>
      <c r="Z33">
        <f t="shared" si="0"/>
        <v>9</v>
      </c>
      <c r="AA33">
        <f t="shared" si="0"/>
        <v>19</v>
      </c>
      <c r="AB33">
        <f t="shared" si="0"/>
        <v>35</v>
      </c>
      <c r="AC33">
        <f t="shared" si="0"/>
        <v>44</v>
      </c>
      <c r="AD33">
        <f t="shared" si="0"/>
        <v>40</v>
      </c>
      <c r="AE33">
        <f t="shared" si="0"/>
        <v>31</v>
      </c>
      <c r="AF33">
        <f t="shared" si="0"/>
        <v>20</v>
      </c>
      <c r="AG33">
        <f t="shared" si="0"/>
        <v>16</v>
      </c>
      <c r="AH33">
        <f t="shared" si="0"/>
        <v>19</v>
      </c>
      <c r="AI33">
        <f t="shared" ref="AI33:AN33" si="1">SUM(AI4:AI31)</f>
        <v>18</v>
      </c>
      <c r="AJ33">
        <f t="shared" si="1"/>
        <v>9</v>
      </c>
      <c r="AK33">
        <f t="shared" si="1"/>
        <v>6</v>
      </c>
      <c r="AL33">
        <f t="shared" si="1"/>
        <v>6</v>
      </c>
      <c r="AM33">
        <f t="shared" si="1"/>
        <v>5</v>
      </c>
      <c r="AN33">
        <f t="shared" si="1"/>
        <v>4</v>
      </c>
    </row>
    <row r="46" spans="5:42" x14ac:dyDescent="0.2">
      <c r="AP46" s="8" t="s">
        <v>12</v>
      </c>
    </row>
    <row r="53" spans="2:35" ht="20.25" x14ac:dyDescent="0.2">
      <c r="Q53" s="7" t="s">
        <v>5</v>
      </c>
    </row>
    <row r="54" spans="2:35" ht="14.25" x14ac:dyDescent="0.2">
      <c r="C54" s="10" t="s">
        <v>49</v>
      </c>
      <c r="AI54" s="10" t="s">
        <v>48</v>
      </c>
    </row>
    <row r="55" spans="2:35" x14ac:dyDescent="0.2">
      <c r="B55" s="5" t="s">
        <v>6</v>
      </c>
      <c r="C55" s="5"/>
      <c r="AI55" s="5" t="s">
        <v>20</v>
      </c>
    </row>
    <row r="56" spans="2:35" ht="15" x14ac:dyDescent="0.25">
      <c r="B56" s="6" t="s">
        <v>7</v>
      </c>
      <c r="C56" s="5"/>
      <c r="AI56" s="5" t="s">
        <v>21</v>
      </c>
    </row>
    <row r="57" spans="2:35" x14ac:dyDescent="0.2">
      <c r="B57" s="5">
        <v>40</v>
      </c>
      <c r="C57" s="5" t="s">
        <v>8</v>
      </c>
      <c r="AI57" s="5" t="s">
        <v>22</v>
      </c>
    </row>
    <row r="58" spans="2:35" x14ac:dyDescent="0.2">
      <c r="B58" s="5">
        <v>21</v>
      </c>
      <c r="C58" s="5" t="s">
        <v>9</v>
      </c>
      <c r="AI58" s="5" t="s">
        <v>23</v>
      </c>
    </row>
    <row r="59" spans="2:35" x14ac:dyDescent="0.2">
      <c r="B59" s="5">
        <v>22</v>
      </c>
      <c r="C59" s="5" t="s">
        <v>10</v>
      </c>
      <c r="AI59" s="5" t="s">
        <v>24</v>
      </c>
    </row>
    <row r="60" spans="2:35" ht="15" x14ac:dyDescent="0.25">
      <c r="B60" s="16">
        <f>SUM(B57:B59)</f>
        <v>83</v>
      </c>
      <c r="C60" s="16" t="s">
        <v>11</v>
      </c>
      <c r="AI60" s="5" t="s">
        <v>25</v>
      </c>
    </row>
    <row r="62" spans="2:35" x14ac:dyDescent="0.2">
      <c r="C62" s="5" t="s">
        <v>13</v>
      </c>
      <c r="E62" s="5"/>
      <c r="F62" s="5"/>
      <c r="G62" s="5"/>
      <c r="H62" s="5"/>
      <c r="I62" s="5"/>
      <c r="K62" s="5"/>
      <c r="L62" s="5"/>
      <c r="M62" s="5"/>
      <c r="N62" s="5"/>
      <c r="O62" s="5"/>
      <c r="AI62" s="5" t="s">
        <v>26</v>
      </c>
    </row>
    <row r="63" spans="2:35" x14ac:dyDescent="0.2">
      <c r="C63" s="5" t="s">
        <v>14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AI63" s="5" t="s">
        <v>27</v>
      </c>
    </row>
    <row r="64" spans="2:35" x14ac:dyDescent="0.2">
      <c r="C64" s="9" t="s">
        <v>15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AI64" s="5" t="s">
        <v>28</v>
      </c>
    </row>
    <row r="65" spans="3:35" x14ac:dyDescent="0.2">
      <c r="C65" s="9" t="s">
        <v>16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AI65" s="5" t="s">
        <v>29</v>
      </c>
    </row>
    <row r="66" spans="3:35" x14ac:dyDescent="0.2">
      <c r="C66" s="9" t="s">
        <v>17</v>
      </c>
      <c r="E66" s="5"/>
      <c r="F66" s="5"/>
      <c r="G66" s="5"/>
      <c r="H66" s="5"/>
      <c r="I66" s="5"/>
      <c r="K66" s="5"/>
      <c r="L66" s="5"/>
      <c r="M66" s="5"/>
      <c r="N66" s="5"/>
      <c r="AI66" s="5" t="s">
        <v>30</v>
      </c>
    </row>
    <row r="67" spans="3:35" x14ac:dyDescent="0.2">
      <c r="C67" s="9" t="s">
        <v>19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AI67" s="5" t="s">
        <v>31</v>
      </c>
    </row>
    <row r="68" spans="3:35" x14ac:dyDescent="0.2">
      <c r="C68" s="9" t="s">
        <v>18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AI68" s="5" t="s">
        <v>32</v>
      </c>
    </row>
    <row r="69" spans="3:35" x14ac:dyDescent="0.2"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3:35" x14ac:dyDescent="0.2">
      <c r="D70" s="5"/>
      <c r="E70" s="5"/>
      <c r="F70" s="5"/>
      <c r="G70" s="5"/>
      <c r="H70" s="5"/>
      <c r="I70" s="5"/>
      <c r="K70" s="5"/>
      <c r="L70" s="5"/>
      <c r="M70" s="5"/>
      <c r="N70" s="5"/>
      <c r="AI70" s="9" t="s">
        <v>36</v>
      </c>
    </row>
    <row r="71" spans="3:35" x14ac:dyDescent="0.2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33</v>
      </c>
    </row>
    <row r="72" spans="3:35" x14ac:dyDescent="0.2">
      <c r="AI72" s="5" t="s">
        <v>34</v>
      </c>
    </row>
    <row r="73" spans="3:35" x14ac:dyDescent="0.2">
      <c r="AI73" s="5" t="s">
        <v>35</v>
      </c>
    </row>
    <row r="75" spans="3:35" x14ac:dyDescent="0.2">
      <c r="AI75" s="5" t="s">
        <v>37</v>
      </c>
    </row>
    <row r="76" spans="3:35" x14ac:dyDescent="0.2">
      <c r="AI76" s="5" t="s">
        <v>38</v>
      </c>
    </row>
    <row r="77" spans="3:35" x14ac:dyDescent="0.2">
      <c r="AI77" s="5" t="s">
        <v>39</v>
      </c>
    </row>
    <row r="78" spans="3:35" x14ac:dyDescent="0.2">
      <c r="AI78" s="5" t="s">
        <v>40</v>
      </c>
    </row>
    <row r="79" spans="3:35" x14ac:dyDescent="0.2">
      <c r="AI79" s="9" t="s">
        <v>47</v>
      </c>
    </row>
    <row r="80" spans="3:35" x14ac:dyDescent="0.2">
      <c r="AI80" s="5" t="s">
        <v>41</v>
      </c>
    </row>
    <row r="81" spans="35:35" x14ac:dyDescent="0.2">
      <c r="AI81" s="5" t="s">
        <v>42</v>
      </c>
    </row>
    <row r="82" spans="35:35" x14ac:dyDescent="0.2">
      <c r="AI82" s="5" t="s">
        <v>43</v>
      </c>
    </row>
    <row r="83" spans="35:35" x14ac:dyDescent="0.2">
      <c r="AI83" s="5" t="s">
        <v>44</v>
      </c>
    </row>
    <row r="84" spans="35:35" x14ac:dyDescent="0.2">
      <c r="AI84" s="5" t="s">
        <v>45</v>
      </c>
    </row>
    <row r="85" spans="35:35" x14ac:dyDescent="0.2">
      <c r="AI85" s="5" t="s">
        <v>46</v>
      </c>
    </row>
    <row r="86" spans="35:35" x14ac:dyDescent="0.2">
      <c r="AI86" s="5"/>
    </row>
  </sheetData>
  <mergeCells count="18">
    <mergeCell ref="A32:AO32"/>
    <mergeCell ref="C2:C3"/>
    <mergeCell ref="B2:B3"/>
    <mergeCell ref="AC2:AE2"/>
    <mergeCell ref="AF2:AH2"/>
    <mergeCell ref="AI2:AK2"/>
    <mergeCell ref="AL2:AN2"/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2026-07-03T15:46:04Z</dcterms:modified>
</cp:coreProperties>
</file>